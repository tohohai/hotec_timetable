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28D0B57-BB7A-421D-87F0-77CE1B6170C2}" xr6:coauthVersionLast="45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HK1" sheetId="51" r:id="rId1"/>
    <sheet name="HK2" sheetId="52" r:id="rId2"/>
    <sheet name="Danhmuc_Caodang_Trungcap_xuly" sheetId="48" state="hidden" r:id="rId3"/>
    <sheet name="Vidu" sheetId="46" state="hidden" r:id="rId4"/>
  </sheets>
  <externalReferences>
    <externalReference r:id="rId5"/>
  </externalReferences>
  <definedNames>
    <definedName name="_xlnm._FilterDatabase" localSheetId="2" hidden="1">Danhmuc_Caodang_Trungcap_xuly!$A$8:$AP$121</definedName>
    <definedName name="_xlnm._FilterDatabase" localSheetId="0" hidden="1">'HK1'!$A$8:$AF$106</definedName>
    <definedName name="_xlnm._FilterDatabase" localSheetId="1" hidden="1">'HK2'!$A$8:$AD$105</definedName>
    <definedName name="_xlnm._FilterDatabase" localSheetId="3" hidden="1">Vidu!$A$8:$XAP$19</definedName>
    <definedName name="_Hlk156921854" localSheetId="1">'HK2'!$E$80</definedName>
    <definedName name="filecuong" localSheetId="2">Danhmuc_Caodang_Trungcap_xuly!#REF!</definedName>
    <definedName name="filecuong" localSheetId="0">'HK1'!#REF!</definedName>
    <definedName name="filecuong" localSheetId="1">'HK2'!#REF!</definedName>
    <definedName name="filecuong" localSheetId="3">Vidu!#REF!</definedName>
    <definedName name="filecuong">#REF!</definedName>
    <definedName name="loaiphong">[1]DukienSophong!$C$2:$I$27</definedName>
    <definedName name="phanhoi" localSheetId="2">#REF!</definedName>
    <definedName name="phanhoi" localSheetId="0">#REF!</definedName>
    <definedName name="phanhoi" localSheetId="1">#REF!</definedName>
    <definedName name="phanhoi" localSheetId="3">#REF!</definedName>
    <definedName name="phanhoi">#REF!</definedName>
    <definedName name="_xlnm.Print_Area" localSheetId="2">Danhmuc_Caodang_Trungcap_xuly!$A$1:$AB$8</definedName>
    <definedName name="_xlnm.Print_Area" localSheetId="0">'HK1'!$A$1:$AC$8</definedName>
    <definedName name="_xlnm.Print_Area" localSheetId="1">'HK2'!$A$1:$AC$8</definedName>
    <definedName name="_xlnm.Print_Area" localSheetId="3">Vidu!$A$1:$AI$37</definedName>
    <definedName name="_xlnm.Print_Titles" localSheetId="2">Danhmuc_Caodang_Trungcap_xuly!$8:$8</definedName>
    <definedName name="_xlnm.Print_Titles" localSheetId="0">'HK1'!$8:$8</definedName>
    <definedName name="_xlnm.Print_Titles" localSheetId="1">'HK2'!$8:$8</definedName>
    <definedName name="_xlnm.Print_Titles" localSheetId="3">Vidu!$8:$8</definedName>
    <definedName name="So_SV_Lop" localSheetId="2">#REF!</definedName>
    <definedName name="So_SV_Lop" localSheetId="0">#REF!</definedName>
    <definedName name="So_SV_Lop" localSheetId="1">#REF!</definedName>
    <definedName name="So_SV_Lop" localSheetId="3">#REF!</definedName>
    <definedName name="So_SV_Lop">#REF!</definedName>
    <definedName name="Tra_TCBB" localSheetId="2">#REF!</definedName>
    <definedName name="Tra_TCBB" localSheetId="0">#REF!</definedName>
    <definedName name="Tra_TCBB" localSheetId="1">#REF!</definedName>
    <definedName name="Tra_TCBB" localSheetId="3">#REF!</definedName>
    <definedName name="Tra_TCBB">#REF!</definedName>
    <definedName name="trasoluong">[1]SoluongNhaphoc_CDK9!$F:$N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4" i="51" l="1"/>
  <c r="AA9" i="51"/>
  <c r="AA10" i="51"/>
  <c r="AA11" i="51"/>
  <c r="AA12" i="51"/>
  <c r="AA13" i="51"/>
  <c r="AA14" i="51"/>
  <c r="AA15" i="51"/>
  <c r="AA16" i="51"/>
  <c r="AA17" i="51"/>
  <c r="AA18" i="51"/>
  <c r="AA19" i="51"/>
  <c r="AA20" i="51"/>
  <c r="AA21" i="51"/>
  <c r="AA22" i="51"/>
  <c r="AA23" i="51"/>
  <c r="AA24" i="51"/>
  <c r="AA25" i="51"/>
  <c r="AA26" i="51"/>
  <c r="AA27" i="51"/>
  <c r="AA28" i="51"/>
  <c r="AA29" i="51"/>
  <c r="AA30" i="51"/>
  <c r="AA31" i="51"/>
  <c r="AA32" i="51"/>
  <c r="AA33" i="51"/>
  <c r="AA34" i="51"/>
  <c r="AA35" i="51"/>
  <c r="AA36" i="51"/>
  <c r="AA37" i="51"/>
  <c r="AA38" i="51"/>
  <c r="AA39" i="51"/>
  <c r="AA40" i="51"/>
  <c r="AA41" i="51"/>
  <c r="AA42" i="51"/>
  <c r="AA43" i="51"/>
  <c r="AA44" i="51"/>
  <c r="AA45" i="51"/>
  <c r="AA46" i="51"/>
  <c r="AA47" i="51"/>
  <c r="AA48" i="51"/>
  <c r="AA49" i="51"/>
  <c r="AA50" i="51"/>
  <c r="AA51" i="51"/>
  <c r="AA52" i="51"/>
  <c r="AA53" i="51"/>
  <c r="AA54" i="51"/>
  <c r="AA55" i="51"/>
  <c r="AA56" i="51"/>
  <c r="AA57" i="51"/>
  <c r="AA58" i="51"/>
  <c r="AA59" i="51"/>
  <c r="AA60" i="51"/>
  <c r="AA61" i="51"/>
  <c r="AA62" i="51"/>
  <c r="AA63" i="51"/>
  <c r="AA64" i="51"/>
  <c r="AA65" i="51"/>
  <c r="AA66" i="51"/>
  <c r="AA67" i="51"/>
  <c r="AA68" i="51"/>
  <c r="AA69" i="51"/>
  <c r="AA70" i="51"/>
  <c r="AA71" i="51"/>
  <c r="AA72" i="51"/>
  <c r="AA73" i="51"/>
  <c r="AA74" i="51"/>
  <c r="AA75" i="51"/>
  <c r="AA76" i="51"/>
  <c r="AA77" i="51"/>
  <c r="AA78" i="51"/>
  <c r="AA79" i="51"/>
  <c r="AA80" i="51"/>
  <c r="AA81" i="51"/>
  <c r="AA82" i="51"/>
  <c r="AA83" i="51"/>
  <c r="AA84" i="51"/>
  <c r="AA85" i="51"/>
  <c r="AA86" i="51"/>
  <c r="AA87" i="51"/>
  <c r="AA88" i="51"/>
  <c r="AA89" i="51"/>
  <c r="AA90" i="51"/>
  <c r="AA91" i="51"/>
  <c r="AA92" i="51"/>
  <c r="AA93" i="51"/>
  <c r="AA94" i="51"/>
  <c r="AA95" i="51"/>
  <c r="AA96" i="51"/>
  <c r="AA97" i="51"/>
  <c r="AA98" i="51"/>
  <c r="AA99" i="51"/>
  <c r="AA100" i="51"/>
  <c r="AA101" i="51"/>
  <c r="AA102" i="51"/>
  <c r="AA103" i="51"/>
  <c r="AA104" i="51"/>
  <c r="AA105" i="51"/>
  <c r="I10" i="51" l="1"/>
  <c r="I11" i="51"/>
  <c r="I12" i="51"/>
  <c r="I13" i="51"/>
  <c r="I14" i="51"/>
  <c r="I15" i="51"/>
  <c r="I16" i="51"/>
  <c r="I17" i="51"/>
  <c r="I18" i="51"/>
  <c r="I19" i="51"/>
  <c r="I20" i="51"/>
  <c r="I21" i="51"/>
  <c r="I22" i="51"/>
  <c r="I23" i="51"/>
  <c r="I24" i="51"/>
  <c r="I25" i="51"/>
  <c r="I26" i="51"/>
  <c r="I27" i="51"/>
  <c r="I28" i="51"/>
  <c r="I29" i="51"/>
  <c r="I30" i="51"/>
  <c r="I31" i="51"/>
  <c r="I32" i="51"/>
  <c r="I33" i="51"/>
  <c r="I34" i="51"/>
  <c r="I35" i="51"/>
  <c r="I36" i="51"/>
  <c r="I37" i="51"/>
  <c r="I38" i="51"/>
  <c r="I39" i="51"/>
  <c r="I40" i="51"/>
  <c r="I41" i="51"/>
  <c r="I42" i="51"/>
  <c r="I43" i="51"/>
  <c r="I44" i="51"/>
  <c r="I45" i="51"/>
  <c r="I46" i="51"/>
  <c r="I47" i="51"/>
  <c r="I48" i="51"/>
  <c r="I49" i="51"/>
  <c r="I50" i="51"/>
  <c r="I51" i="51"/>
  <c r="I52" i="51"/>
  <c r="I53" i="51"/>
  <c r="I54" i="51"/>
  <c r="I55" i="51"/>
  <c r="I56" i="51"/>
  <c r="I57" i="51"/>
  <c r="I58" i="51"/>
  <c r="I59" i="51"/>
  <c r="I60" i="51"/>
  <c r="I61" i="51"/>
  <c r="I62" i="51"/>
  <c r="I63" i="51"/>
  <c r="I64" i="51"/>
  <c r="I65" i="51"/>
  <c r="I66" i="51"/>
  <c r="I67" i="51"/>
  <c r="I68" i="51"/>
  <c r="I69" i="51"/>
  <c r="I70" i="51"/>
  <c r="I71" i="51"/>
  <c r="I72" i="51"/>
  <c r="I73" i="51"/>
  <c r="I75" i="51"/>
  <c r="I76" i="51"/>
  <c r="I77" i="51"/>
  <c r="I78" i="51"/>
  <c r="I79" i="51"/>
  <c r="I80" i="51"/>
  <c r="I81" i="51"/>
  <c r="I82" i="51"/>
  <c r="I83" i="51"/>
  <c r="I84" i="51"/>
  <c r="I85" i="51"/>
  <c r="I86" i="51"/>
  <c r="I87" i="51"/>
  <c r="I88" i="51"/>
  <c r="I89" i="51"/>
  <c r="I90" i="51"/>
  <c r="I91" i="51"/>
  <c r="I92" i="51"/>
  <c r="I93" i="51"/>
  <c r="I94" i="51"/>
  <c r="I95" i="51"/>
  <c r="I96" i="51"/>
  <c r="I97" i="51"/>
  <c r="I98" i="51"/>
  <c r="I99" i="51"/>
  <c r="I100" i="51"/>
  <c r="I101" i="51"/>
  <c r="I102" i="51"/>
  <c r="I103" i="51"/>
  <c r="I104" i="51"/>
  <c r="I105" i="51"/>
  <c r="I9" i="51"/>
  <c r="A104" i="52" l="1"/>
  <c r="A103" i="52"/>
  <c r="A102" i="52"/>
  <c r="A101" i="52"/>
  <c r="A100" i="52"/>
  <c r="A99" i="52"/>
  <c r="A98" i="52"/>
  <c r="A97" i="52"/>
  <c r="A105" i="51" l="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15" i="48"/>
  <c r="AN15" i="48"/>
  <c r="AO15" i="48" s="1"/>
  <c r="A22" i="48"/>
  <c r="AN22" i="48"/>
  <c r="AO22" i="48" s="1"/>
  <c r="AP22" i="48"/>
  <c r="A29" i="48"/>
  <c r="AN29" i="48"/>
  <c r="AO29" i="48" s="1"/>
  <c r="A36" i="48"/>
  <c r="AN36" i="48"/>
  <c r="AP36" i="48" s="1"/>
  <c r="A43" i="48"/>
  <c r="AN43" i="48"/>
  <c r="AO43" i="48" s="1"/>
  <c r="A10" i="48"/>
  <c r="A11" i="48"/>
  <c r="A12" i="48"/>
  <c r="A13" i="48"/>
  <c r="A14" i="48"/>
  <c r="A16" i="48"/>
  <c r="A17" i="48"/>
  <c r="A18" i="48"/>
  <c r="A19" i="48"/>
  <c r="A20" i="48"/>
  <c r="A21" i="48"/>
  <c r="A23" i="48"/>
  <c r="A24" i="48"/>
  <c r="A25" i="48"/>
  <c r="A26" i="48"/>
  <c r="A27" i="48"/>
  <c r="A28" i="48"/>
  <c r="A30" i="48"/>
  <c r="A31" i="48"/>
  <c r="A32" i="48"/>
  <c r="A33" i="48"/>
  <c r="A34" i="48"/>
  <c r="A35" i="48"/>
  <c r="A37" i="48"/>
  <c r="A38" i="48"/>
  <c r="A39" i="48"/>
  <c r="A40" i="48"/>
  <c r="A41" i="48"/>
  <c r="A42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9" i="48"/>
  <c r="AN33" i="48"/>
  <c r="AO33" i="48" s="1"/>
  <c r="AN49" i="48"/>
  <c r="AO49" i="48" s="1"/>
  <c r="AN57" i="48"/>
  <c r="AO57" i="48" s="1"/>
  <c r="AN58" i="48"/>
  <c r="AO58" i="48" s="1"/>
  <c r="AN59" i="48"/>
  <c r="AO59" i="48" s="1"/>
  <c r="AN60" i="48"/>
  <c r="AO60" i="48" s="1"/>
  <c r="AN61" i="48"/>
  <c r="AO61" i="48" s="1"/>
  <c r="AN62" i="48"/>
  <c r="AO62" i="48" s="1"/>
  <c r="AN63" i="48"/>
  <c r="AO63" i="48" s="1"/>
  <c r="AN64" i="48"/>
  <c r="AP64" i="48" s="1"/>
  <c r="AN65" i="48"/>
  <c r="AO65" i="48" s="1"/>
  <c r="AN66" i="48"/>
  <c r="AO66" i="48" s="1"/>
  <c r="AN67" i="48"/>
  <c r="AO67" i="48" s="1"/>
  <c r="AN68" i="48"/>
  <c r="AO68" i="48" s="1"/>
  <c r="AN69" i="48"/>
  <c r="AO69" i="48" s="1"/>
  <c r="AN70" i="48"/>
  <c r="AO70" i="48" s="1"/>
  <c r="AN71" i="48"/>
  <c r="AO71" i="48" s="1"/>
  <c r="AN72" i="48"/>
  <c r="AO72" i="48" s="1"/>
  <c r="AN73" i="48"/>
  <c r="AO73" i="48" s="1"/>
  <c r="AN74" i="48"/>
  <c r="AO74" i="48" s="1"/>
  <c r="AN75" i="48"/>
  <c r="AO75" i="48" s="1"/>
  <c r="AN76" i="48"/>
  <c r="AO76" i="48" s="1"/>
  <c r="AN77" i="48"/>
  <c r="AO77" i="48" s="1"/>
  <c r="AN78" i="48"/>
  <c r="AP78" i="48" s="1"/>
  <c r="AN85" i="48"/>
  <c r="AO85" i="48" s="1"/>
  <c r="AN92" i="48"/>
  <c r="AO92" i="48" s="1"/>
  <c r="AN99" i="48"/>
  <c r="AP99" i="48" s="1"/>
  <c r="AN106" i="48"/>
  <c r="AP106" i="48" s="1"/>
  <c r="AN114" i="48"/>
  <c r="AP114" i="48" s="1"/>
  <c r="AN30" i="48"/>
  <c r="AO30" i="48" s="1"/>
  <c r="AN32" i="48"/>
  <c r="AO32" i="48" s="1"/>
  <c r="AF73" i="48"/>
  <c r="AG73" i="48"/>
  <c r="AI73" i="48"/>
  <c r="AI10" i="48"/>
  <c r="AJ10" i="48"/>
  <c r="AI11" i="48"/>
  <c r="AJ11" i="48"/>
  <c r="AK11" i="48" s="1"/>
  <c r="AI12" i="48"/>
  <c r="AJ12" i="48"/>
  <c r="AK12" i="48" s="1"/>
  <c r="AI13" i="48"/>
  <c r="AJ13" i="48"/>
  <c r="AK13" i="48" s="1"/>
  <c r="AI14" i="48"/>
  <c r="AJ14" i="48"/>
  <c r="AK14" i="48" s="1"/>
  <c r="AI16" i="48"/>
  <c r="AJ16" i="48"/>
  <c r="AK16" i="48" s="1"/>
  <c r="AI17" i="48"/>
  <c r="AJ17" i="48"/>
  <c r="AK17" i="48" s="1"/>
  <c r="AI18" i="48"/>
  <c r="AJ18" i="48"/>
  <c r="AK18" i="48" s="1"/>
  <c r="AI19" i="48"/>
  <c r="AJ19" i="48"/>
  <c r="AK19" i="48" s="1"/>
  <c r="AI20" i="48"/>
  <c r="AJ20" i="48"/>
  <c r="AK20" i="48" s="1"/>
  <c r="AI21" i="48"/>
  <c r="AJ21" i="48"/>
  <c r="AK21" i="48" s="1"/>
  <c r="AI23" i="48"/>
  <c r="AJ23" i="48"/>
  <c r="AK23" i="48" s="1"/>
  <c r="AI24" i="48"/>
  <c r="AJ24" i="48"/>
  <c r="AK24" i="48" s="1"/>
  <c r="AI25" i="48"/>
  <c r="AJ25" i="48"/>
  <c r="AK25" i="48" s="1"/>
  <c r="AI26" i="48"/>
  <c r="AJ26" i="48"/>
  <c r="AK26" i="48" s="1"/>
  <c r="AI27" i="48"/>
  <c r="AJ27" i="48"/>
  <c r="AK27" i="48" s="1"/>
  <c r="AI28" i="48"/>
  <c r="AJ28" i="48"/>
  <c r="AK28" i="48" s="1"/>
  <c r="AI30" i="48"/>
  <c r="AI31" i="48"/>
  <c r="AJ31" i="48"/>
  <c r="AK31" i="48" s="1"/>
  <c r="AI32" i="48"/>
  <c r="AI33" i="48"/>
  <c r="AI34" i="48"/>
  <c r="AJ34" i="48"/>
  <c r="AK34" i="48" s="1"/>
  <c r="AI35" i="48"/>
  <c r="AJ35" i="48"/>
  <c r="AK35" i="48" s="1"/>
  <c r="AI37" i="48"/>
  <c r="AJ37" i="48"/>
  <c r="AK37" i="48" s="1"/>
  <c r="AI38" i="48"/>
  <c r="AJ38" i="48"/>
  <c r="AK38" i="48" s="1"/>
  <c r="AI39" i="48"/>
  <c r="AJ39" i="48"/>
  <c r="AK39" i="48" s="1"/>
  <c r="AI40" i="48"/>
  <c r="AJ40" i="48"/>
  <c r="AK40" i="48" s="1"/>
  <c r="AI41" i="48"/>
  <c r="AJ41" i="48"/>
  <c r="AK41" i="48" s="1"/>
  <c r="AI42" i="48"/>
  <c r="AJ42" i="48"/>
  <c r="AK42" i="48" s="1"/>
  <c r="AI44" i="48"/>
  <c r="AJ44" i="48"/>
  <c r="AK44" i="48" s="1"/>
  <c r="AI45" i="48"/>
  <c r="AJ45" i="48"/>
  <c r="AK45" i="48" s="1"/>
  <c r="AI46" i="48"/>
  <c r="AJ46" i="48"/>
  <c r="AK46" i="48" s="1"/>
  <c r="AI47" i="48"/>
  <c r="AJ47" i="48"/>
  <c r="AK47" i="48" s="1"/>
  <c r="AI48" i="48"/>
  <c r="AJ48" i="48"/>
  <c r="AK48" i="48" s="1"/>
  <c r="AI50" i="48"/>
  <c r="AJ50" i="48"/>
  <c r="AK50" i="48" s="1"/>
  <c r="AI51" i="48"/>
  <c r="AJ51" i="48"/>
  <c r="AK51" i="48" s="1"/>
  <c r="AI52" i="48"/>
  <c r="AJ52" i="48"/>
  <c r="AK52" i="48" s="1"/>
  <c r="AI53" i="48"/>
  <c r="AJ53" i="48"/>
  <c r="AK53" i="48" s="1"/>
  <c r="AI54" i="48"/>
  <c r="AJ54" i="48"/>
  <c r="AK54" i="48" s="1"/>
  <c r="AI55" i="48"/>
  <c r="AJ55" i="48"/>
  <c r="AK55" i="48" s="1"/>
  <c r="AI56" i="48"/>
  <c r="AJ56" i="48"/>
  <c r="AK56" i="48" s="1"/>
  <c r="AI58" i="48"/>
  <c r="AI59" i="48"/>
  <c r="AI60" i="48"/>
  <c r="AI61" i="48"/>
  <c r="AI62" i="48"/>
  <c r="AI63" i="48"/>
  <c r="AI65" i="48"/>
  <c r="AI66" i="48"/>
  <c r="AI67" i="48"/>
  <c r="AI68" i="48"/>
  <c r="AI69" i="48"/>
  <c r="AI70" i="48"/>
  <c r="AI71" i="48"/>
  <c r="AI74" i="48"/>
  <c r="AI75" i="48"/>
  <c r="AI76" i="48"/>
  <c r="AI77" i="48"/>
  <c r="AI79" i="48"/>
  <c r="AJ79" i="48"/>
  <c r="AK79" i="48" s="1"/>
  <c r="AI80" i="48"/>
  <c r="AJ80" i="48"/>
  <c r="AK80" i="48" s="1"/>
  <c r="AI81" i="48"/>
  <c r="AJ81" i="48"/>
  <c r="AK81" i="48" s="1"/>
  <c r="AI82" i="48"/>
  <c r="AJ82" i="48"/>
  <c r="AK82" i="48" s="1"/>
  <c r="AI83" i="48"/>
  <c r="AJ83" i="48"/>
  <c r="AK83" i="48" s="1"/>
  <c r="AI84" i="48"/>
  <c r="AJ84" i="48"/>
  <c r="AK84" i="48" s="1"/>
  <c r="AI86" i="48"/>
  <c r="AJ86" i="48"/>
  <c r="AK86" i="48" s="1"/>
  <c r="AI87" i="48"/>
  <c r="AJ87" i="48"/>
  <c r="AK87" i="48" s="1"/>
  <c r="AI88" i="48"/>
  <c r="AJ88" i="48"/>
  <c r="AK88" i="48" s="1"/>
  <c r="AI89" i="48"/>
  <c r="AJ89" i="48"/>
  <c r="AK89" i="48" s="1"/>
  <c r="AI90" i="48"/>
  <c r="AJ90" i="48"/>
  <c r="AK90" i="48" s="1"/>
  <c r="AI91" i="48"/>
  <c r="AJ91" i="48"/>
  <c r="AK91" i="48" s="1"/>
  <c r="AI93" i="48"/>
  <c r="AJ93" i="48"/>
  <c r="AK93" i="48" s="1"/>
  <c r="AI94" i="48"/>
  <c r="AJ94" i="48"/>
  <c r="AK94" i="48" s="1"/>
  <c r="AI95" i="48"/>
  <c r="AJ95" i="48"/>
  <c r="AK95" i="48" s="1"/>
  <c r="AI96" i="48"/>
  <c r="AJ96" i="48"/>
  <c r="AK96" i="48" s="1"/>
  <c r="AI97" i="48"/>
  <c r="AJ97" i="48"/>
  <c r="AK97" i="48" s="1"/>
  <c r="AI98" i="48"/>
  <c r="AJ98" i="48"/>
  <c r="AK98" i="48" s="1"/>
  <c r="AI100" i="48"/>
  <c r="AJ100" i="48"/>
  <c r="AK100" i="48" s="1"/>
  <c r="AI101" i="48"/>
  <c r="AJ101" i="48"/>
  <c r="AK101" i="48" s="1"/>
  <c r="AI102" i="48"/>
  <c r="AJ102" i="48"/>
  <c r="AK102" i="48" s="1"/>
  <c r="AI103" i="48"/>
  <c r="AJ103" i="48"/>
  <c r="AK103" i="48" s="1"/>
  <c r="AI104" i="48"/>
  <c r="AJ104" i="48"/>
  <c r="AK104" i="48" s="1"/>
  <c r="AI105" i="48"/>
  <c r="AJ105" i="48"/>
  <c r="AK105" i="48" s="1"/>
  <c r="AI107" i="48"/>
  <c r="AJ107" i="48"/>
  <c r="AK107" i="48" s="1"/>
  <c r="AI108" i="48"/>
  <c r="AJ108" i="48"/>
  <c r="AK108" i="48" s="1"/>
  <c r="AI109" i="48"/>
  <c r="AJ109" i="48"/>
  <c r="AK109" i="48" s="1"/>
  <c r="AI110" i="48"/>
  <c r="AJ110" i="48"/>
  <c r="AK110" i="48" s="1"/>
  <c r="AI111" i="48"/>
  <c r="AJ111" i="48"/>
  <c r="AK111" i="48" s="1"/>
  <c r="AI112" i="48"/>
  <c r="AJ112" i="48"/>
  <c r="AK112" i="48" s="1"/>
  <c r="AI113" i="48"/>
  <c r="AJ113" i="48"/>
  <c r="AK113" i="48" s="1"/>
  <c r="AI115" i="48"/>
  <c r="AJ115" i="48"/>
  <c r="AK115" i="48" s="1"/>
  <c r="AI116" i="48"/>
  <c r="AJ116" i="48"/>
  <c r="AK116" i="48" s="1"/>
  <c r="AI117" i="48"/>
  <c r="AJ117" i="48"/>
  <c r="AK117" i="48" s="1"/>
  <c r="AI118" i="48"/>
  <c r="AJ118" i="48"/>
  <c r="AK118" i="48" s="1"/>
  <c r="AI119" i="48"/>
  <c r="AJ119" i="48"/>
  <c r="AK119" i="48" s="1"/>
  <c r="AI120" i="48"/>
  <c r="AJ120" i="48"/>
  <c r="AK120" i="48" s="1"/>
  <c r="AJ9" i="48"/>
  <c r="AK9" i="48" s="1"/>
  <c r="AI9" i="48"/>
  <c r="AG9" i="48"/>
  <c r="AF58" i="48"/>
  <c r="AG58" i="48"/>
  <c r="AF59" i="48"/>
  <c r="AG59" i="48"/>
  <c r="AF60" i="48"/>
  <c r="AG60" i="48"/>
  <c r="AF61" i="48"/>
  <c r="AG61" i="48"/>
  <c r="AF62" i="48"/>
  <c r="AG62" i="48"/>
  <c r="AF63" i="48"/>
  <c r="AG63" i="48"/>
  <c r="AF65" i="48"/>
  <c r="AG65" i="48"/>
  <c r="AF66" i="48"/>
  <c r="AG66" i="48"/>
  <c r="AF67" i="48"/>
  <c r="AG67" i="48"/>
  <c r="AF68" i="48"/>
  <c r="AG68" i="48"/>
  <c r="AF69" i="48"/>
  <c r="AG69" i="48"/>
  <c r="AF70" i="48"/>
  <c r="AG70" i="48"/>
  <c r="AF71" i="48"/>
  <c r="AG71" i="48"/>
  <c r="AF74" i="48"/>
  <c r="AG74" i="48"/>
  <c r="AF75" i="48"/>
  <c r="AG75" i="48"/>
  <c r="AF76" i="48"/>
  <c r="AG76" i="48"/>
  <c r="AF77" i="48"/>
  <c r="AG77" i="48"/>
  <c r="AF79" i="48"/>
  <c r="AG79" i="48"/>
  <c r="AF80" i="48"/>
  <c r="AG80" i="48"/>
  <c r="AF81" i="48"/>
  <c r="AG81" i="48"/>
  <c r="AF82" i="48"/>
  <c r="AG82" i="48"/>
  <c r="AF83" i="48"/>
  <c r="AG83" i="48"/>
  <c r="AF84" i="48"/>
  <c r="AG84" i="48"/>
  <c r="AF86" i="48"/>
  <c r="AG86" i="48"/>
  <c r="AF87" i="48"/>
  <c r="AG87" i="48"/>
  <c r="AF88" i="48"/>
  <c r="AG88" i="48"/>
  <c r="AF89" i="48"/>
  <c r="AG89" i="48"/>
  <c r="AF90" i="48"/>
  <c r="AG90" i="48"/>
  <c r="AF91" i="48"/>
  <c r="AG91" i="48"/>
  <c r="AF93" i="48"/>
  <c r="AG93" i="48"/>
  <c r="AF94" i="48"/>
  <c r="AG94" i="48"/>
  <c r="AF95" i="48"/>
  <c r="AG95" i="48"/>
  <c r="AF96" i="48"/>
  <c r="AG96" i="48"/>
  <c r="AF97" i="48"/>
  <c r="AG97" i="48"/>
  <c r="AF98" i="48"/>
  <c r="AG98" i="48"/>
  <c r="AF100" i="48"/>
  <c r="AG100" i="48"/>
  <c r="AF101" i="48"/>
  <c r="AG101" i="48"/>
  <c r="AF102" i="48"/>
  <c r="AG102" i="48"/>
  <c r="AF103" i="48"/>
  <c r="AG103" i="48"/>
  <c r="AF104" i="48"/>
  <c r="AG104" i="48"/>
  <c r="AF105" i="48"/>
  <c r="AG105" i="48"/>
  <c r="AF107" i="48"/>
  <c r="AG107" i="48"/>
  <c r="AF108" i="48"/>
  <c r="AG108" i="48"/>
  <c r="AF109" i="48"/>
  <c r="AG109" i="48"/>
  <c r="AF110" i="48"/>
  <c r="AG110" i="48"/>
  <c r="AF111" i="48"/>
  <c r="AG111" i="48"/>
  <c r="AF112" i="48"/>
  <c r="AG112" i="48"/>
  <c r="AF113" i="48"/>
  <c r="AG113" i="48"/>
  <c r="AF115" i="48"/>
  <c r="AG115" i="48"/>
  <c r="AF116" i="48"/>
  <c r="AG116" i="48"/>
  <c r="AF117" i="48"/>
  <c r="AG117" i="48"/>
  <c r="AF118" i="48"/>
  <c r="AG118" i="48"/>
  <c r="AF119" i="48"/>
  <c r="AG119" i="48"/>
  <c r="AF120" i="48"/>
  <c r="AG120" i="48"/>
  <c r="AF44" i="48"/>
  <c r="AG44" i="48"/>
  <c r="AF45" i="48"/>
  <c r="AG45" i="48"/>
  <c r="AF46" i="48"/>
  <c r="AG46" i="48"/>
  <c r="AF47" i="48"/>
  <c r="AG47" i="48"/>
  <c r="AF48" i="48"/>
  <c r="AG48" i="48"/>
  <c r="AF50" i="48"/>
  <c r="AG50" i="48"/>
  <c r="AF51" i="48"/>
  <c r="AG51" i="48"/>
  <c r="AF52" i="48"/>
  <c r="AG52" i="48"/>
  <c r="AF53" i="48"/>
  <c r="AG53" i="48"/>
  <c r="AF54" i="48"/>
  <c r="AG54" i="48"/>
  <c r="AF55" i="48"/>
  <c r="AG55" i="48"/>
  <c r="AF56" i="48"/>
  <c r="AG56" i="48"/>
  <c r="AF30" i="48"/>
  <c r="AG30" i="48"/>
  <c r="AF31" i="48"/>
  <c r="AG31" i="48"/>
  <c r="AF32" i="48"/>
  <c r="AG32" i="48"/>
  <c r="AF33" i="48"/>
  <c r="AG33" i="48"/>
  <c r="AF34" i="48"/>
  <c r="AG34" i="48"/>
  <c r="AF35" i="48"/>
  <c r="AG35" i="48"/>
  <c r="AF37" i="48"/>
  <c r="AG37" i="48"/>
  <c r="AF38" i="48"/>
  <c r="AG38" i="48"/>
  <c r="AF39" i="48"/>
  <c r="AG39" i="48"/>
  <c r="AF40" i="48"/>
  <c r="AG40" i="48"/>
  <c r="AF41" i="48"/>
  <c r="AG41" i="48"/>
  <c r="AF42" i="48"/>
  <c r="AG42" i="48"/>
  <c r="AG10" i="48"/>
  <c r="AG11" i="48"/>
  <c r="AG12" i="48"/>
  <c r="AG13" i="48"/>
  <c r="AG14" i="48"/>
  <c r="AG16" i="48"/>
  <c r="AG17" i="48"/>
  <c r="AG18" i="48"/>
  <c r="AG19" i="48"/>
  <c r="AG20" i="48"/>
  <c r="AG21" i="48"/>
  <c r="AG23" i="48"/>
  <c r="AG24" i="48"/>
  <c r="AG25" i="48"/>
  <c r="AG26" i="48"/>
  <c r="AG27" i="48"/>
  <c r="AG28" i="48"/>
  <c r="AF9" i="48"/>
  <c r="AF10" i="48"/>
  <c r="AF11" i="48"/>
  <c r="AF12" i="48"/>
  <c r="AF13" i="48"/>
  <c r="AF14" i="48"/>
  <c r="AF16" i="48"/>
  <c r="AF17" i="48"/>
  <c r="AF18" i="48"/>
  <c r="AF19" i="48"/>
  <c r="AF20" i="48"/>
  <c r="AF21" i="48"/>
  <c r="AF23" i="48"/>
  <c r="AF24" i="48"/>
  <c r="AF25" i="48"/>
  <c r="AF26" i="48"/>
  <c r="AF27" i="48"/>
  <c r="AF28" i="48"/>
  <c r="AP15" i="48" l="1"/>
  <c r="AP43" i="48"/>
  <c r="AP29" i="48"/>
  <c r="AO36" i="48"/>
  <c r="AP85" i="48"/>
  <c r="AP57" i="48"/>
  <c r="AO64" i="48"/>
  <c r="AP49" i="48"/>
  <c r="AO99" i="48"/>
  <c r="AP92" i="48"/>
  <c r="AP72" i="48"/>
  <c r="AO114" i="48"/>
  <c r="AO106" i="48"/>
  <c r="AO78" i="48"/>
  <c r="AH91" i="48"/>
  <c r="AH73" i="48"/>
  <c r="AP73" i="48" s="1"/>
  <c r="AH26" i="48"/>
  <c r="AH75" i="48"/>
  <c r="AP75" i="48" s="1"/>
  <c r="AH67" i="48"/>
  <c r="AP67" i="48" s="1"/>
  <c r="AH11" i="48"/>
  <c r="AH10" i="48"/>
  <c r="AH14" i="48"/>
  <c r="AH18" i="48"/>
  <c r="AH53" i="48"/>
  <c r="AH83" i="48"/>
  <c r="AH68" i="48"/>
  <c r="AP68" i="48" s="1"/>
  <c r="AH59" i="48"/>
  <c r="AP59" i="48" s="1"/>
  <c r="AH21" i="48"/>
  <c r="AH17" i="48"/>
  <c r="AH120" i="48"/>
  <c r="AL18" i="48"/>
  <c r="AN18" i="48" s="1"/>
  <c r="AO18" i="48" s="1"/>
  <c r="AH104" i="48"/>
  <c r="AH88" i="48"/>
  <c r="AH20" i="48"/>
  <c r="AH41" i="48"/>
  <c r="AH37" i="48"/>
  <c r="AH16" i="48"/>
  <c r="AH46" i="48"/>
  <c r="AH119" i="48"/>
  <c r="AH111" i="48"/>
  <c r="AH19" i="48"/>
  <c r="AH33" i="48"/>
  <c r="AP33" i="48" s="1"/>
  <c r="AH108" i="48"/>
  <c r="AH27" i="48"/>
  <c r="AH23" i="48"/>
  <c r="AH28" i="48"/>
  <c r="AH24" i="48"/>
  <c r="AH86" i="48"/>
  <c r="AH80" i="48"/>
  <c r="AH76" i="48"/>
  <c r="AP76" i="48" s="1"/>
  <c r="AH25" i="48"/>
  <c r="AH42" i="48"/>
  <c r="AH30" i="48"/>
  <c r="AP30" i="48" s="1"/>
  <c r="AH56" i="48"/>
  <c r="AH50" i="48"/>
  <c r="AH12" i="48"/>
  <c r="AH38" i="48"/>
  <c r="AH32" i="48"/>
  <c r="AP32" i="48" s="1"/>
  <c r="AH54" i="48"/>
  <c r="AH48" i="48"/>
  <c r="AH101" i="48"/>
  <c r="AH62" i="48"/>
  <c r="AP62" i="48" s="1"/>
  <c r="AH118" i="48"/>
  <c r="AH116" i="48"/>
  <c r="AH112" i="48"/>
  <c r="AH110" i="48"/>
  <c r="AH77" i="48"/>
  <c r="AP77" i="48" s="1"/>
  <c r="AH40" i="48"/>
  <c r="AH34" i="48"/>
  <c r="AH103" i="48"/>
  <c r="AH93" i="48"/>
  <c r="AH70" i="48"/>
  <c r="AP70" i="48" s="1"/>
  <c r="AH60" i="48"/>
  <c r="AP60" i="48" s="1"/>
  <c r="AH13" i="48"/>
  <c r="AH9" i="48"/>
  <c r="AH39" i="48"/>
  <c r="AH35" i="48"/>
  <c r="AH31" i="48"/>
  <c r="AH55" i="48"/>
  <c r="AH47" i="48"/>
  <c r="AH113" i="48"/>
  <c r="AH102" i="48"/>
  <c r="AH100" i="48"/>
  <c r="AH96" i="48"/>
  <c r="AH94" i="48"/>
  <c r="AH84" i="48"/>
  <c r="AH69" i="48"/>
  <c r="AP69" i="48" s="1"/>
  <c r="AH61" i="48"/>
  <c r="AP61" i="48" s="1"/>
  <c r="AH51" i="48"/>
  <c r="AH44" i="48"/>
  <c r="AH115" i="48"/>
  <c r="AH109" i="48"/>
  <c r="AH97" i="48"/>
  <c r="AH95" i="48"/>
  <c r="AH90" i="48"/>
  <c r="AH81" i="48"/>
  <c r="AH79" i="48"/>
  <c r="AH74" i="48"/>
  <c r="AP74" i="48" s="1"/>
  <c r="AH65" i="48"/>
  <c r="AP65" i="48" s="1"/>
  <c r="AH63" i="48"/>
  <c r="AP63" i="48" s="1"/>
  <c r="AH58" i="48"/>
  <c r="AP58" i="48" s="1"/>
  <c r="AH52" i="48"/>
  <c r="AH45" i="48"/>
  <c r="AH117" i="48"/>
  <c r="AH107" i="48"/>
  <c r="AH105" i="48"/>
  <c r="AH98" i="48"/>
  <c r="AH89" i="48"/>
  <c r="AH87" i="48"/>
  <c r="AH82" i="48"/>
  <c r="AH71" i="48"/>
  <c r="AP71" i="48" s="1"/>
  <c r="AH66" i="48"/>
  <c r="AP66" i="48" s="1"/>
  <c r="AL14" i="48" l="1"/>
  <c r="AN14" i="48" s="1"/>
  <c r="AO14" i="48" s="1"/>
  <c r="AL97" i="48"/>
  <c r="AN97" i="48" s="1"/>
  <c r="AO97" i="48" s="1"/>
  <c r="AL94" i="48"/>
  <c r="AN94" i="48" s="1"/>
  <c r="AO94" i="48" s="1"/>
  <c r="AL113" i="48"/>
  <c r="AN113" i="48" s="1"/>
  <c r="AO113" i="48" s="1"/>
  <c r="AL35" i="48"/>
  <c r="AN35" i="48" s="1"/>
  <c r="AO35" i="48" s="1"/>
  <c r="AL112" i="48"/>
  <c r="AN112" i="48" s="1"/>
  <c r="AO112" i="48" s="1"/>
  <c r="AL23" i="48"/>
  <c r="AN23" i="48" s="1"/>
  <c r="AO23" i="48" s="1"/>
  <c r="AL16" i="48"/>
  <c r="AN16" i="48" s="1"/>
  <c r="AO16" i="48" s="1"/>
  <c r="AL17" i="48"/>
  <c r="AN17" i="48" s="1"/>
  <c r="AO17" i="48" s="1"/>
  <c r="AL10" i="48"/>
  <c r="AL89" i="48"/>
  <c r="AN89" i="48" s="1"/>
  <c r="AO89" i="48" s="1"/>
  <c r="AL117" i="48"/>
  <c r="AN117" i="48" s="1"/>
  <c r="AO117" i="48" s="1"/>
  <c r="AL81" i="48"/>
  <c r="AN81" i="48" s="1"/>
  <c r="AO81" i="48" s="1"/>
  <c r="AL109" i="48"/>
  <c r="AN109" i="48" s="1"/>
  <c r="AO109" i="48" s="1"/>
  <c r="AL96" i="48"/>
  <c r="AN96" i="48" s="1"/>
  <c r="AO96" i="48" s="1"/>
  <c r="AL47" i="48"/>
  <c r="AN47" i="48" s="1"/>
  <c r="AO47" i="48" s="1"/>
  <c r="AL39" i="48"/>
  <c r="AN39" i="48" s="1"/>
  <c r="AO39" i="48" s="1"/>
  <c r="AL40" i="48"/>
  <c r="AN40" i="48" s="1"/>
  <c r="AO40" i="48" s="1"/>
  <c r="AL116" i="48"/>
  <c r="AN116" i="48" s="1"/>
  <c r="AO116" i="48" s="1"/>
  <c r="AL48" i="48"/>
  <c r="AN48" i="48" s="1"/>
  <c r="AO48" i="48" s="1"/>
  <c r="AL12" i="48"/>
  <c r="AN12" i="48" s="1"/>
  <c r="AO12" i="48" s="1"/>
  <c r="AL42" i="48"/>
  <c r="AN42" i="48" s="1"/>
  <c r="AO42" i="48" s="1"/>
  <c r="AL86" i="48"/>
  <c r="AN86" i="48" s="1"/>
  <c r="AO86" i="48" s="1"/>
  <c r="AL27" i="48"/>
  <c r="AN27" i="48" s="1"/>
  <c r="AO27" i="48" s="1"/>
  <c r="AL111" i="48"/>
  <c r="AN111" i="48" s="1"/>
  <c r="AO111" i="48" s="1"/>
  <c r="AL37" i="48"/>
  <c r="AN37" i="48" s="1"/>
  <c r="AO37" i="48" s="1"/>
  <c r="AL104" i="48"/>
  <c r="AN104" i="48" s="1"/>
  <c r="AO104" i="48" s="1"/>
  <c r="AL21" i="48"/>
  <c r="AN21" i="48" s="1"/>
  <c r="AO21" i="48" s="1"/>
  <c r="AL53" i="48"/>
  <c r="AN53" i="48" s="1"/>
  <c r="AO53" i="48" s="1"/>
  <c r="AL11" i="48"/>
  <c r="AN11" i="48" s="1"/>
  <c r="AO11" i="48" s="1"/>
  <c r="AL82" i="48"/>
  <c r="AN82" i="48" s="1"/>
  <c r="AO82" i="48" s="1"/>
  <c r="AL105" i="48"/>
  <c r="AN105" i="48" s="1"/>
  <c r="AO105" i="48" s="1"/>
  <c r="AL52" i="48"/>
  <c r="AN52" i="48" s="1"/>
  <c r="AO52" i="48" s="1"/>
  <c r="AL95" i="48"/>
  <c r="AN95" i="48" s="1"/>
  <c r="AO95" i="48" s="1"/>
  <c r="AL44" i="48"/>
  <c r="AN44" i="48" s="1"/>
  <c r="AO44" i="48" s="1"/>
  <c r="AL84" i="48"/>
  <c r="AN84" i="48" s="1"/>
  <c r="AO84" i="48" s="1"/>
  <c r="AL102" i="48"/>
  <c r="AN102" i="48" s="1"/>
  <c r="AO102" i="48" s="1"/>
  <c r="AL31" i="48"/>
  <c r="AN31" i="48" s="1"/>
  <c r="AO31" i="48" s="1"/>
  <c r="AL13" i="48"/>
  <c r="AN13" i="48" s="1"/>
  <c r="AO13" i="48" s="1"/>
  <c r="AL103" i="48"/>
  <c r="AN103" i="48" s="1"/>
  <c r="AO103" i="48" s="1"/>
  <c r="AL110" i="48"/>
  <c r="AN110" i="48" s="1"/>
  <c r="AO110" i="48" s="1"/>
  <c r="AL56" i="48"/>
  <c r="AN56" i="48" s="1"/>
  <c r="AO56" i="48" s="1"/>
  <c r="AL28" i="48"/>
  <c r="AN28" i="48" s="1"/>
  <c r="AO28" i="48" s="1"/>
  <c r="AL46" i="48"/>
  <c r="AN46" i="48" s="1"/>
  <c r="AO46" i="48" s="1"/>
  <c r="AL20" i="48"/>
  <c r="AN20" i="48" s="1"/>
  <c r="AO20" i="48" s="1"/>
  <c r="AL120" i="48"/>
  <c r="AN120" i="48" s="1"/>
  <c r="AO120" i="48" s="1"/>
  <c r="AL87" i="48"/>
  <c r="AN87" i="48" s="1"/>
  <c r="AO87" i="48" s="1"/>
  <c r="AL107" i="48"/>
  <c r="AN107" i="48" s="1"/>
  <c r="AO107" i="48" s="1"/>
  <c r="AL79" i="48"/>
  <c r="AN79" i="48" s="1"/>
  <c r="AO79" i="48" s="1"/>
  <c r="AL51" i="48"/>
  <c r="AN51" i="48" s="1"/>
  <c r="AO51" i="48" s="1"/>
  <c r="AL34" i="48"/>
  <c r="AN34" i="48" s="1"/>
  <c r="AO34" i="48" s="1"/>
  <c r="AL101" i="48"/>
  <c r="AN101" i="48" s="1"/>
  <c r="AO101" i="48" s="1"/>
  <c r="AL38" i="48"/>
  <c r="AN38" i="48" s="1"/>
  <c r="AO38" i="48" s="1"/>
  <c r="AL80" i="48"/>
  <c r="AN80" i="48" s="1"/>
  <c r="AO80" i="48" s="1"/>
  <c r="AL19" i="48"/>
  <c r="AN19" i="48" s="1"/>
  <c r="AO19" i="48" s="1"/>
  <c r="AL88" i="48"/>
  <c r="AN88" i="48" s="1"/>
  <c r="AO88" i="48" s="1"/>
  <c r="AL83" i="48"/>
  <c r="AN83" i="48" s="1"/>
  <c r="AO83" i="48" s="1"/>
  <c r="AL26" i="48"/>
  <c r="AN26" i="48" s="1"/>
  <c r="AO26" i="48" s="1"/>
  <c r="AL98" i="48"/>
  <c r="AN98" i="48" s="1"/>
  <c r="AO98" i="48" s="1"/>
  <c r="AL45" i="48"/>
  <c r="AN45" i="48" s="1"/>
  <c r="AO45" i="48" s="1"/>
  <c r="AL90" i="48"/>
  <c r="AN90" i="48" s="1"/>
  <c r="AO90" i="48" s="1"/>
  <c r="AL115" i="48"/>
  <c r="AN115" i="48" s="1"/>
  <c r="AO115" i="48" s="1"/>
  <c r="AL100" i="48"/>
  <c r="AN100" i="48" s="1"/>
  <c r="AO100" i="48" s="1"/>
  <c r="AL55" i="48"/>
  <c r="AN55" i="48" s="1"/>
  <c r="AO55" i="48" s="1"/>
  <c r="AL9" i="48"/>
  <c r="AN9" i="48" s="1"/>
  <c r="AO9" i="48" s="1"/>
  <c r="AL93" i="48"/>
  <c r="AN93" i="48" s="1"/>
  <c r="AO93" i="48" s="1"/>
  <c r="AL118" i="48"/>
  <c r="AN118" i="48" s="1"/>
  <c r="AO118" i="48" s="1"/>
  <c r="AL54" i="48"/>
  <c r="AN54" i="48" s="1"/>
  <c r="AO54" i="48" s="1"/>
  <c r="AL50" i="48"/>
  <c r="AN50" i="48" s="1"/>
  <c r="AO50" i="48" s="1"/>
  <c r="AL25" i="48"/>
  <c r="AN25" i="48" s="1"/>
  <c r="AO25" i="48" s="1"/>
  <c r="AL24" i="48"/>
  <c r="AN24" i="48" s="1"/>
  <c r="AO24" i="48" s="1"/>
  <c r="AL108" i="48"/>
  <c r="AN108" i="48" s="1"/>
  <c r="AO108" i="48" s="1"/>
  <c r="AL119" i="48"/>
  <c r="AN119" i="48" s="1"/>
  <c r="AO119" i="48" s="1"/>
  <c r="AL41" i="48"/>
  <c r="AN41" i="48" s="1"/>
  <c r="AO41" i="48" s="1"/>
  <c r="AP18" i="48"/>
  <c r="AL91" i="48"/>
  <c r="AN91" i="48" s="1"/>
  <c r="AO91" i="48" s="1"/>
  <c r="A11" i="46"/>
  <c r="A12" i="46"/>
  <c r="A13" i="46"/>
  <c r="A14" i="46"/>
  <c r="A15" i="46"/>
  <c r="A16" i="46"/>
  <c r="A17" i="46"/>
  <c r="A18" i="46"/>
  <c r="A19" i="46"/>
  <c r="A20" i="46"/>
  <c r="A21" i="46"/>
  <c r="A22" i="46"/>
  <c r="A23" i="46"/>
  <c r="A24" i="46"/>
  <c r="A25" i="46"/>
  <c r="AP109" i="48" l="1"/>
  <c r="AP55" i="48"/>
  <c r="AP105" i="48"/>
  <c r="AP120" i="48"/>
  <c r="AP107" i="48"/>
  <c r="AP47" i="48"/>
  <c r="AP115" i="48"/>
  <c r="AP11" i="48"/>
  <c r="AP25" i="48"/>
  <c r="AP80" i="48"/>
  <c r="AP31" i="48"/>
  <c r="AP42" i="48"/>
  <c r="AP108" i="48"/>
  <c r="AP88" i="48"/>
  <c r="AP103" i="48"/>
  <c r="AP27" i="48"/>
  <c r="AP16" i="48"/>
  <c r="AP97" i="48"/>
  <c r="AP41" i="48"/>
  <c r="AP93" i="48"/>
  <c r="AP26" i="48"/>
  <c r="AP51" i="48"/>
  <c r="AP56" i="48"/>
  <c r="AP95" i="48"/>
  <c r="AP37" i="48"/>
  <c r="AP40" i="48"/>
  <c r="AP113" i="48"/>
  <c r="AP91" i="48"/>
  <c r="AP54" i="48"/>
  <c r="AP45" i="48"/>
  <c r="AP101" i="48"/>
  <c r="AP46" i="48"/>
  <c r="AP84" i="48"/>
  <c r="AP21" i="48"/>
  <c r="AP48" i="48"/>
  <c r="AP117" i="48"/>
  <c r="AP112" i="48"/>
  <c r="AN10" i="48"/>
  <c r="AP10" i="48" s="1"/>
  <c r="AP119" i="48"/>
  <c r="AP24" i="48"/>
  <c r="AP50" i="48"/>
  <c r="AP118" i="48"/>
  <c r="AP9" i="48"/>
  <c r="AP100" i="48"/>
  <c r="AP90" i="48"/>
  <c r="AP98" i="48"/>
  <c r="AP83" i="48"/>
  <c r="AP19" i="48"/>
  <c r="AP38" i="48"/>
  <c r="AP34" i="48"/>
  <c r="AP79" i="48"/>
  <c r="AP87" i="48"/>
  <c r="AP20" i="48"/>
  <c r="AP28" i="48"/>
  <c r="AP110" i="48"/>
  <c r="AP13" i="48"/>
  <c r="AP102" i="48"/>
  <c r="AP44" i="48"/>
  <c r="AP52" i="48"/>
  <c r="AP82" i="48"/>
  <c r="AP53" i="48"/>
  <c r="AP104" i="48"/>
  <c r="AP111" i="48"/>
  <c r="AP86" i="48"/>
  <c r="AP12" i="48"/>
  <c r="AP116" i="48"/>
  <c r="AP39" i="48"/>
  <c r="AP96" i="48"/>
  <c r="AP81" i="48"/>
  <c r="AP89" i="48"/>
  <c r="AP17" i="48"/>
  <c r="AP23" i="48"/>
  <c r="AP35" i="48"/>
  <c r="AP94" i="48"/>
  <c r="AP14" i="48"/>
  <c r="AI19" i="46"/>
  <c r="AI9" i="46"/>
  <c r="AI10" i="46"/>
  <c r="AI11" i="46"/>
  <c r="AI12" i="46"/>
  <c r="AI14" i="46"/>
  <c r="AI17" i="46"/>
  <c r="AI15" i="46"/>
  <c r="AI16" i="46"/>
  <c r="AI13" i="46"/>
  <c r="AI18" i="46"/>
  <c r="AO10" i="48" l="1"/>
  <c r="A10" i="46"/>
  <c r="A9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Truong</author>
  </authors>
  <commentList>
    <comment ref="B8" authorId="0" shapeId="0" xr:uid="{0A1C8DE9-EF82-4CE6-B200-08E470AC28DC}">
      <text>
        <r>
          <rPr>
            <b/>
            <sz val="9"/>
            <color indexed="81"/>
            <rFont val="Tahoma"/>
            <family val="2"/>
          </rPr>
          <t>Cao đẳng: CD
Trung cấp cơ sở: TC-CS
Trung cấp phổ thông: TC-PT</t>
        </r>
      </text>
    </comment>
    <comment ref="D8" authorId="0" shapeId="0" xr:uid="{515C3348-4626-4AFE-944F-13C1398E5EF0}">
      <text>
        <r>
          <rPr>
            <b/>
            <sz val="9"/>
            <color indexed="81"/>
            <rFont val="Tahoma"/>
            <family val="2"/>
          </rPr>
          <t>Chuyên ngành của từng ngành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8" authorId="0" shapeId="0" xr:uid="{C342FC8F-7325-44EF-9516-CF5CFE10F692}">
      <text>
        <r>
          <rPr>
            <b/>
            <sz val="9"/>
            <color indexed="81"/>
            <rFont val="Tahoma"/>
            <family val="2"/>
          </rPr>
          <t>Tất cả những học phần trong học kỳ của từng khóa thuộc từng ngành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" authorId="0" shapeId="0" xr:uid="{61E734D3-BE41-44E0-91B0-01B9FD992EEE}">
      <text>
        <r>
          <rPr>
            <b/>
            <sz val="9"/>
            <color indexed="81"/>
            <rFont val="Tahoma"/>
            <family val="2"/>
          </rPr>
          <t>Đơn vị quản lý học phần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38F2F7F9-C7B5-4CEE-BC0C-5A215A7E3DF1}">
      <text>
        <r>
          <rPr>
            <b/>
            <sz val="9"/>
            <color indexed="81"/>
            <rFont val="Tahoma"/>
            <family val="2"/>
          </rPr>
          <t>Dự vào số tín chỉ
=&gt; Số tiết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13128C80-FCE9-4ACE-BAF1-4E560B9D8037}">
      <text>
        <r>
          <rPr>
            <b/>
            <sz val="9"/>
            <color indexed="81"/>
            <rFont val="Tahoma"/>
            <family val="2"/>
          </rPr>
          <t>Dự vào số tín chỉ
=&gt; Số giờ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 shapeId="0" xr:uid="{9A57A805-C7A7-4E94-95C7-59DCF0EB5A00}">
      <text>
        <r>
          <rPr>
            <b/>
            <sz val="8"/>
            <color indexed="81"/>
            <rFont val="Tahoma"/>
            <family val="2"/>
          </rPr>
          <t>Đánh dấu X nếu là môn lý thuyết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8" authorId="0" shapeId="0" xr:uid="{E8D43381-69CF-45A6-AA32-F45D78393723}">
      <text>
        <r>
          <rPr>
            <b/>
            <sz val="8"/>
            <color indexed="81"/>
            <rFont val="Tahoma"/>
            <family val="2"/>
          </rPr>
          <t xml:space="preserve">Đánh dấu X nếu là môn tích hợp
</t>
        </r>
      </text>
    </comment>
    <comment ref="O8" authorId="0" shapeId="0" xr:uid="{8D67BCD9-2407-4F64-A504-AE0791033633}">
      <text>
        <r>
          <rPr>
            <b/>
            <sz val="8"/>
            <color indexed="81"/>
            <rFont val="Tahoma"/>
            <family val="2"/>
          </rPr>
          <t xml:space="preserve">Đánh dấu X nếu là môn thực hành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8" authorId="0" shapeId="0" xr:uid="{76A2F55B-10F6-4E0E-8F50-F59830966544}">
      <text>
        <r>
          <rPr>
            <b/>
            <sz val="9"/>
            <color indexed="81"/>
            <rFont val="Tahoma"/>
            <family val="2"/>
          </rPr>
          <t>Tự chọn: TC
Bắt buộc: BB
Không tính điểm: -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8" authorId="0" shapeId="0" xr:uid="{1533BCD1-E80A-4ADC-8096-F021BCC3BECA}">
      <text>
        <r>
          <rPr>
            <b/>
            <sz val="9"/>
            <color indexed="81"/>
            <rFont val="Tahoma"/>
            <family val="2"/>
          </rPr>
          <t>TH là học phần tự chọn ghi:
Nhóm … - …TC - Phân nhóm TC
(Nhóm C - 7TC - QTKD Tổng hớp)</t>
        </r>
      </text>
    </comment>
    <comment ref="R8" authorId="0" shapeId="0" xr:uid="{A17DE484-00B1-4C44-BAD2-97666D351051}">
      <text>
        <r>
          <rPr>
            <b/>
            <sz val="9"/>
            <color indexed="81"/>
            <rFont val="Tahoma"/>
            <family val="2"/>
          </rPr>
          <t>Khóa nhập học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(Không phải năm nhập học)</t>
        </r>
      </text>
    </comment>
    <comment ref="S8" authorId="0" shapeId="0" xr:uid="{B3BD1F01-7BAF-4696-9CB7-022684DEE759}">
      <text>
        <r>
          <rPr>
            <b/>
            <sz val="9"/>
            <color indexed="81"/>
            <rFont val="Tahoma"/>
            <family val="2"/>
          </rPr>
          <t>Lớp theo từng khóa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(Kể cả lớp Cao đẳng liên thông)</t>
        </r>
      </text>
    </comment>
    <comment ref="T8" authorId="0" shapeId="0" xr:uid="{1CF76E47-3545-47D9-8745-87EE6B0CDC46}">
      <text>
        <r>
          <rPr>
            <b/>
            <sz val="8"/>
            <color indexed="81"/>
            <rFont val="Tahoma"/>
            <family val="2"/>
          </rPr>
          <t>Sỉ số HSSV theo từng lớp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8" authorId="0" shapeId="0" xr:uid="{71D332F1-B197-44CF-8594-578B06FE012F}">
      <text>
        <r>
          <rPr>
            <b/>
            <sz val="9"/>
            <color indexed="81"/>
            <rFont val="Tahoma"/>
            <family val="2"/>
          </rPr>
          <t>Theo Kê hoạch của từng Khóa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Truong</author>
  </authors>
  <commentList>
    <comment ref="B8" authorId="0" shapeId="0" xr:uid="{7B8FECC4-3C56-422C-B8F2-020F31FAFFBA}">
      <text>
        <r>
          <rPr>
            <b/>
            <sz val="9"/>
            <color indexed="81"/>
            <rFont val="Tahoma"/>
            <family val="2"/>
          </rPr>
          <t>Cao đẳng: CD
Trung cấp cơ sở: TC-CS
Trung cấp phổ thông: TC-PT</t>
        </r>
      </text>
    </comment>
    <comment ref="D8" authorId="0" shapeId="0" xr:uid="{D7CD7035-80A8-451E-BEFC-0B1A4413B423}">
      <text>
        <r>
          <rPr>
            <b/>
            <sz val="9"/>
            <color indexed="81"/>
            <rFont val="Tahoma"/>
            <family val="2"/>
          </rPr>
          <t>Chuyên ngành của từng ngành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8" authorId="0" shapeId="0" xr:uid="{0887729D-A605-4A77-A0A0-EB72F8D72FCC}">
      <text>
        <r>
          <rPr>
            <b/>
            <sz val="9"/>
            <color indexed="81"/>
            <rFont val="Tahoma"/>
            <family val="2"/>
          </rPr>
          <t>Tất cả những học phần trong học kỳ của từng khóa thuộc từng ngành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" authorId="0" shapeId="0" xr:uid="{2ED9E43F-5458-4A31-8B9D-04D1963A1143}">
      <text>
        <r>
          <rPr>
            <b/>
            <sz val="9"/>
            <color indexed="81"/>
            <rFont val="Tahoma"/>
            <family val="2"/>
          </rPr>
          <t>Đơn vị quản lý học phần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94E7A6D9-14C2-45A3-98DD-EF76E514C9C9}">
      <text>
        <r>
          <rPr>
            <b/>
            <sz val="9"/>
            <color indexed="81"/>
            <rFont val="Tahoma"/>
            <family val="2"/>
          </rPr>
          <t>Dự vào số tín chỉ
=&gt; Số tiết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8A648173-56BA-4D1A-95F4-DB12D4A79B5D}">
      <text>
        <r>
          <rPr>
            <b/>
            <sz val="9"/>
            <color indexed="81"/>
            <rFont val="Tahoma"/>
            <family val="2"/>
          </rPr>
          <t>Dự vào số tín chỉ
=&gt; Số giờ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 shapeId="0" xr:uid="{AB7FB68E-FB79-451D-AB65-E70B59F5C695}">
      <text>
        <r>
          <rPr>
            <b/>
            <sz val="8"/>
            <color indexed="81"/>
            <rFont val="Tahoma"/>
            <family val="2"/>
          </rPr>
          <t>Đánh dấu X nếu là môn lý thuyết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8" authorId="0" shapeId="0" xr:uid="{B1B10E2F-44C8-47E3-A50F-E01F766DBAB5}">
      <text>
        <r>
          <rPr>
            <b/>
            <sz val="8"/>
            <color indexed="81"/>
            <rFont val="Tahoma"/>
            <family val="2"/>
          </rPr>
          <t xml:space="preserve">Đánh dấu X nếu là môn tích hợp
</t>
        </r>
      </text>
    </comment>
    <comment ref="O8" authorId="0" shapeId="0" xr:uid="{B4F67A6D-B361-452B-A3CE-B780F93A0D64}">
      <text>
        <r>
          <rPr>
            <b/>
            <sz val="8"/>
            <color indexed="81"/>
            <rFont val="Tahoma"/>
            <family val="2"/>
          </rPr>
          <t xml:space="preserve">Đánh dấu X nếu là môn thực hành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8" authorId="0" shapeId="0" xr:uid="{6FD0364B-3CBD-4654-BDE7-7B0C9BE6EDAE}">
      <text>
        <r>
          <rPr>
            <b/>
            <sz val="9"/>
            <color indexed="81"/>
            <rFont val="Tahoma"/>
            <family val="2"/>
          </rPr>
          <t>Tự chọn: TC
Bắt buộc: BB
Không tính điểm: -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8" authorId="0" shapeId="0" xr:uid="{DAF3B979-E874-4979-A17A-DA653F76EEF5}">
      <text>
        <r>
          <rPr>
            <b/>
            <sz val="9"/>
            <color indexed="81"/>
            <rFont val="Tahoma"/>
            <family val="2"/>
          </rPr>
          <t>TH là học phần tự chọn ghi:
Nhóm … - …TC - Phân nhóm TC
(Nhóm C - 7TC - QTKD Tổng hớp)</t>
        </r>
      </text>
    </comment>
    <comment ref="R8" authorId="0" shapeId="0" xr:uid="{7FAA090A-CA8C-4ECB-9A77-0B715E74486A}">
      <text>
        <r>
          <rPr>
            <b/>
            <sz val="9"/>
            <color indexed="81"/>
            <rFont val="Tahoma"/>
            <family val="2"/>
          </rPr>
          <t>Khóa nhập học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(Không phải năm nhập học)</t>
        </r>
      </text>
    </comment>
    <comment ref="S8" authorId="0" shapeId="0" xr:uid="{9CF3070C-F803-480B-BBA7-2B89C77C8836}">
      <text>
        <r>
          <rPr>
            <b/>
            <sz val="9"/>
            <color indexed="81"/>
            <rFont val="Tahoma"/>
            <family val="2"/>
          </rPr>
          <t>Lớp theo từng khóa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(Kể cả lớp Cao đẳng liên thông)</t>
        </r>
      </text>
    </comment>
    <comment ref="T8" authorId="0" shapeId="0" xr:uid="{7CA07699-3E0F-4244-918A-194E4A416B7E}">
      <text>
        <r>
          <rPr>
            <b/>
            <sz val="8"/>
            <color indexed="81"/>
            <rFont val="Tahoma"/>
            <family val="2"/>
          </rPr>
          <t>Sỉ số HSSV theo từng lớp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A8" authorId="0" shapeId="0" xr:uid="{CDB73647-02AB-4588-8A49-A340A2FBC164}">
      <text>
        <r>
          <rPr>
            <b/>
            <sz val="9"/>
            <color indexed="81"/>
            <rFont val="Tahoma"/>
            <family val="2"/>
          </rPr>
          <t>Theo Kê hoạch của từng Khóa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Truong</author>
  </authors>
  <commentList>
    <comment ref="B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Cao đẳng: CD
Trung cấp cơ sở: TC-CS
Trung cấp phổ thông: TC-PT</t>
        </r>
      </text>
    </comment>
    <comment ref="D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Chuyên ngành của từng ngành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Tất cả những học phần trong học kỳ của từng khóa thuộc từng ngành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Đơn vị quản lý học phần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Dự vào số tín chỉ
=&gt; Số tiết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Dự vào số tín chỉ
=&gt; Số giờ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Đánh dấu X nếu là môn lý thuyết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8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 xml:space="preserve">Đánh dấu X nếu là môn tích hợp
</t>
        </r>
      </text>
    </comment>
    <comment ref="N8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 xml:space="preserve">Đánh dấu X nếu là môn thực hành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8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Tự chọn: TC
Bắt buộc: BB
Không tính điểm: -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8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TH là học phần tự chọn ghi:
Nhóm … - …TC - Phân nhóm TC
(Nhóm C - 7TC - QTKD Tổng hớp)</t>
        </r>
      </text>
    </comment>
    <comment ref="Q8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Khóa nhập học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(Không phải năm nhập học)</t>
        </r>
      </text>
    </comment>
    <comment ref="R8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Lớp theo từng khóa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(Kể cả lớp Cao đẳng liên thông)</t>
        </r>
      </text>
    </comment>
    <comment ref="S8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Sỉ số HSSV theo từng lớp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8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Theo Kê hoạch của từng Khóa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Truong</author>
  </authors>
  <commentList>
    <comment ref="B8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Cao đẳng:   CD
Trung cấp cơ sở:   TC-CS
Trung cấp phổ thông:   TC-PT </t>
        </r>
      </text>
    </comment>
    <comment ref="D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Chuyên ngành của từng ngành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Tất cả những học phần trong học kỳ của từng khóa thuộc từng ngành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Đơn vị quản lý học phần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Dự vào số tín chỉ
=&gt; Số tiết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Dự vào số tín chỉ
=&gt; Số giờ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Đánh dấu X nếu là môn lý thuyết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8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 xml:space="preserve">Đánh dấu X nếu là môn tích hợp
</t>
        </r>
      </text>
    </comment>
    <comment ref="N8" authorId="0" shapeId="0" xr:uid="{00000000-0006-0000-0200-000009000000}">
      <text>
        <r>
          <rPr>
            <b/>
            <sz val="8"/>
            <color indexed="81"/>
            <rFont val="Tahoma"/>
            <family val="2"/>
          </rPr>
          <t xml:space="preserve">Đánh dấu X nếu là môn thực hành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8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Tự chọn: TC
Bắt buộc: BB
Không tính điểm: -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8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TH là học phần tự chọn ghi:
Nhóm … - …TC - Phân nhóm TC
(Nhóm C - 7TC - QTKD Tổng hớp)</t>
        </r>
      </text>
    </comment>
    <comment ref="Q8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Khóa nhập học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(Không phải năm nhập học)</t>
        </r>
      </text>
    </comment>
    <comment ref="R8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Lớp theo từng khóa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(Kể cả lớp Cao đẳng liên thông)</t>
        </r>
      </text>
    </comment>
    <comment ref="S8" authorId="0" shapeId="0" xr:uid="{00000000-0006-0000-0200-00000E000000}">
      <text>
        <r>
          <rPr>
            <b/>
            <sz val="8"/>
            <color indexed="81"/>
            <rFont val="Tahoma"/>
            <family val="2"/>
          </rPr>
          <t>Sỉ số HSSV theo từng lớp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8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Tuần theo kế hoạch
(Bắt đầu - Kêt thúc)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<sst xmlns="http://schemas.openxmlformats.org/spreadsheetml/2006/main" count="3593" uniqueCount="476">
  <si>
    <t>Mã HP</t>
  </si>
  <si>
    <t>2 (1,1,4)</t>
  </si>
  <si>
    <t>3 (2,1,6)</t>
  </si>
  <si>
    <t>Bậc</t>
  </si>
  <si>
    <t>Lớp</t>
  </si>
  <si>
    <t>Ghi chú</t>
  </si>
  <si>
    <t>CD</t>
  </si>
  <si>
    <t>-</t>
  </si>
  <si>
    <t>QTKD</t>
  </si>
  <si>
    <t>2 (0,2,4)</t>
  </si>
  <si>
    <t>Phân tích hoạt động KD quốc tế</t>
  </si>
  <si>
    <t>3104106</t>
  </si>
  <si>
    <t>Quản trị chuỗi cung ứng</t>
  </si>
  <si>
    <t>3104107</t>
  </si>
  <si>
    <t>Quản trị dự án</t>
  </si>
  <si>
    <t>3104108</t>
  </si>
  <si>
    <t>Quản trị Marketing</t>
  </si>
  <si>
    <t>3104109</t>
  </si>
  <si>
    <t>Quản trị nguồn nhân lực</t>
  </si>
  <si>
    <t>3104110</t>
  </si>
  <si>
    <t>Quản trị văn phòng</t>
  </si>
  <si>
    <t>3104111</t>
  </si>
  <si>
    <t>Thực tập nghiệp vụ hải quan</t>
  </si>
  <si>
    <t>3104501</t>
  </si>
  <si>
    <t>Thực tập khởi tạo doanh nghiệp</t>
  </si>
  <si>
    <t>3104502</t>
  </si>
  <si>
    <t>Thực tập kỹ năng giao tiếp trong kinh doanh</t>
  </si>
  <si>
    <t>3104503</t>
  </si>
  <si>
    <t>Tiếng Anh thương mại 1</t>
  </si>
  <si>
    <t>3104078</t>
  </si>
  <si>
    <t>TC</t>
  </si>
  <si>
    <t>Tiếng Anh 5</t>
  </si>
  <si>
    <t>TC/BB</t>
  </si>
  <si>
    <t>BB</t>
  </si>
  <si>
    <t/>
  </si>
  <si>
    <t>Đơn vị</t>
  </si>
  <si>
    <t>Ngoại ngữ</t>
  </si>
  <si>
    <t>Số tiết</t>
  </si>
  <si>
    <t>Số giờ</t>
  </si>
  <si>
    <t>Mã lớp HP</t>
  </si>
  <si>
    <t>TRƯỜNG CAO ĐẲNG KINH TẾ - KỸ THUẬT</t>
  </si>
  <si>
    <t>THÀNH PHỐ HỒ CHÍ MINH</t>
  </si>
  <si>
    <t>CỘNG HÒA XÃ HỘI CHỦ NGHĨA VIỆT NAM</t>
  </si>
  <si>
    <t>Tp.HCM, ngày …… tháng …… năm ………</t>
  </si>
  <si>
    <t>Giảng viên</t>
  </si>
  <si>
    <t>GDPL-KNS</t>
  </si>
  <si>
    <t>Số: ……….</t>
  </si>
  <si>
    <t>Độc lập - Tự do - Hạnh Phúc</t>
  </si>
  <si>
    <t>Số
tín chỉ</t>
  </si>
  <si>
    <t>Thứ</t>
  </si>
  <si>
    <t>từ tiết</t>
  </si>
  <si>
    <t>đến tiết</t>
  </si>
  <si>
    <t>Phòng</t>
  </si>
  <si>
    <t>Tuần</t>
  </si>
  <si>
    <t>1-15</t>
  </si>
  <si>
    <t>Nhóm TC</t>
  </si>
  <si>
    <t>Chuyên ngành</t>
  </si>
  <si>
    <t>3107015</t>
  </si>
  <si>
    <t>CoKhi</t>
  </si>
  <si>
    <t>Dien</t>
  </si>
  <si>
    <t>Khoa</t>
  </si>
  <si>
    <t>STT</t>
  </si>
  <si>
    <t>UBND THÀNH PHỐ HÔ CHÍ MINH</t>
  </si>
  <si>
    <t>STT
TC-CĐ</t>
  </si>
  <si>
    <t>Ngành</t>
  </si>
  <si>
    <t>Nhóm C - 7TC - QTKD.Tổng Hợp</t>
  </si>
  <si>
    <t>Nhóm C - 7TC - QTKD.Quốc tế</t>
  </si>
  <si>
    <t>Học phần</t>
  </si>
  <si>
    <t>Khóa</t>
  </si>
  <si>
    <t>15CD.QTKD01</t>
  </si>
  <si>
    <t>Sỉ số
HSSV</t>
  </si>
  <si>
    <t>Môn Lý thuyết</t>
  </si>
  <si>
    <t>Môn
tích 
hợp</t>
  </si>
  <si>
    <t>Môn
thực hành</t>
  </si>
  <si>
    <t>X</t>
  </si>
  <si>
    <t>3103582</t>
  </si>
  <si>
    <t>310358203</t>
  </si>
  <si>
    <t>Thực tập động cơ đốt trong</t>
  </si>
  <si>
    <t>24</t>
  </si>
  <si>
    <t>Khóa lớp</t>
  </si>
  <si>
    <t>3103585</t>
  </si>
  <si>
    <t>310358504</t>
  </si>
  <si>
    <t>Thực tập hệ thống Truyền động trên ô tô</t>
  </si>
  <si>
    <t>5</t>
  </si>
  <si>
    <t>3103611</t>
  </si>
  <si>
    <t>310361105</t>
  </si>
  <si>
    <t>Hệ thống điện thân xe ô tô</t>
  </si>
  <si>
    <t>7</t>
  </si>
  <si>
    <t>3103609</t>
  </si>
  <si>
    <t>310360903</t>
  </si>
  <si>
    <t>Hệ thống Phanh – Treo - Lái</t>
  </si>
  <si>
    <t>3103606</t>
  </si>
  <si>
    <t>310360604</t>
  </si>
  <si>
    <t>Kỹ thuật đồng sơn cơ bản</t>
  </si>
  <si>
    <t>3103580</t>
  </si>
  <si>
    <t>310358006</t>
  </si>
  <si>
    <t>Thực hành AutoCAD</t>
  </si>
  <si>
    <t>Thứ Bảy</t>
  </si>
  <si>
    <t>10</t>
  </si>
  <si>
    <t>D06</t>
  </si>
  <si>
    <t>3 (0,3,0)</t>
  </si>
  <si>
    <t>2 (0,2,0)</t>
  </si>
  <si>
    <t>2 (2,0,4)</t>
  </si>
  <si>
    <t>1 (0,1,1)</t>
  </si>
  <si>
    <t>Ô tô</t>
  </si>
  <si>
    <t>17CDOT01</t>
  </si>
  <si>
    <r>
      <t xml:space="preserve">DANH MỤC HỌC PHẦN </t>
    </r>
    <r>
      <rPr>
        <b/>
        <sz val="12"/>
        <color rgb="FFFF0000"/>
        <rFont val="Times New Roman"/>
        <family val="1"/>
      </rPr>
      <t>CAO ĐẲNG</t>
    </r>
    <r>
      <rPr>
        <b/>
        <sz val="12"/>
        <rFont val="Times New Roman"/>
        <family val="1"/>
      </rPr>
      <t xml:space="preserve"> - HỌC KỲ 1 - NĂM HỌC 2018 - 2019</t>
    </r>
  </si>
  <si>
    <t>Tiếng Anh</t>
  </si>
  <si>
    <t>Tiếng Anh 1</t>
  </si>
  <si>
    <t>MH3107206</t>
  </si>
  <si>
    <t>2(1,1,3)</t>
  </si>
  <si>
    <t>3(2,1,5)</t>
  </si>
  <si>
    <t>4(3,1,7)</t>
  </si>
  <si>
    <t>3(1,2,4)</t>
  </si>
  <si>
    <t>5(0,5,5)</t>
  </si>
  <si>
    <t>Khóa luận</t>
  </si>
  <si>
    <t>5(3,2,8)</t>
  </si>
  <si>
    <t>Thực tập tốt nghiệp</t>
  </si>
  <si>
    <t>4(2,2,6)</t>
  </si>
  <si>
    <t>3(0,3,3)</t>
  </si>
  <si>
    <t>2(0,2,2)</t>
  </si>
  <si>
    <t>MH3108019</t>
  </si>
  <si>
    <t>MH3109105</t>
  </si>
  <si>
    <t>Cơ bản</t>
  </si>
  <si>
    <t>Tin học</t>
  </si>
  <si>
    <t>MH3101201</t>
  </si>
  <si>
    <t>Pháp luật</t>
  </si>
  <si>
    <t>MH3108103</t>
  </si>
  <si>
    <t>8(0,8,8)</t>
  </si>
  <si>
    <t>CNTT</t>
  </si>
  <si>
    <t>2(2,0,4)</t>
  </si>
  <si>
    <t>6(0,6,6)</t>
  </si>
  <si>
    <t>Xây dựng hệ thống mạng nguồn mở</t>
  </si>
  <si>
    <t>Khai thác dịch vụ Internet vào kinh doanh trực tuyến</t>
  </si>
  <si>
    <t>Công nghệ mạng</t>
  </si>
  <si>
    <t>MH3101127</t>
  </si>
  <si>
    <t>Ứng dụng phần mềm</t>
  </si>
  <si>
    <t>Xây dựng phần mềm quản lý</t>
  </si>
  <si>
    <t>Phát triển ứng dụng trên thiết bị di động</t>
  </si>
  <si>
    <t>Khóa luận tốt nghiệp</t>
  </si>
  <si>
    <t>Quản trị hệ thống Linux</t>
  </si>
  <si>
    <t>Lắp ráp và cài đặt máy tính</t>
  </si>
  <si>
    <t>Quản trị mạng Windows Server nâng cao</t>
  </si>
  <si>
    <t>Quản trị mạng Cisco</t>
  </si>
  <si>
    <t>Lập trình windows cơ bản</t>
  </si>
  <si>
    <t>Hệ quản trị cơ sở dữ liệu</t>
  </si>
  <si>
    <t>Lập trình trên thiết bị di động cơ bản</t>
  </si>
  <si>
    <t>Lập trình hướng đối tượng</t>
  </si>
  <si>
    <t>An toàn lao động</t>
  </si>
  <si>
    <t>Mạng máy tính</t>
  </si>
  <si>
    <t>MH3101102</t>
  </si>
  <si>
    <t>Cơ sở dữ liệu</t>
  </si>
  <si>
    <t>Giáo dục chính trị</t>
  </si>
  <si>
    <t>MH3108021</t>
  </si>
  <si>
    <t>Giáo dục thể chất</t>
  </si>
  <si>
    <t>MH3012400</t>
  </si>
  <si>
    <t>MH3107209</t>
  </si>
  <si>
    <t>MH3012402</t>
  </si>
  <si>
    <t>Lập trình cơ bản</t>
  </si>
  <si>
    <t>25CDTH01</t>
  </si>
  <si>
    <t>25CDTHPM01</t>
  </si>
  <si>
    <t>MH3012428</t>
  </si>
  <si>
    <t>3(1,2,)</t>
  </si>
  <si>
    <t>2(0,2,)</t>
  </si>
  <si>
    <t>5(5,0,)</t>
  </si>
  <si>
    <t>2(2,0,)</t>
  </si>
  <si>
    <t>Thiết kế trang web</t>
  </si>
  <si>
    <t>Thiết kế đồ họa</t>
  </si>
  <si>
    <t>Hệ thống thông tin</t>
  </si>
  <si>
    <t>25CDTKW01</t>
  </si>
  <si>
    <t>25CDHT01</t>
  </si>
  <si>
    <t>25CDTH01-05</t>
  </si>
  <si>
    <t>MH3012410</t>
  </si>
  <si>
    <t>4(3,1,)</t>
  </si>
  <si>
    <t>MH3012411</t>
  </si>
  <si>
    <t>MH3012414</t>
  </si>
  <si>
    <t>MH3012415</t>
  </si>
  <si>
    <t>3(2,1,)</t>
  </si>
  <si>
    <t>MH3012416</t>
  </si>
  <si>
    <t>MH3022402</t>
  </si>
  <si>
    <t>Năng lượng tái tạo</t>
  </si>
  <si>
    <t>Định tuyến và chuyển mạch trên thiết bị Cisco</t>
  </si>
  <si>
    <t>Thiết bị giám sát và an ninh</t>
  </si>
  <si>
    <t>Công nghệ ảo hóa</t>
  </si>
  <si>
    <t>MH3012442</t>
  </si>
  <si>
    <t>4(2,2,)</t>
  </si>
  <si>
    <t>MH3012443</t>
  </si>
  <si>
    <t>MH3012448</t>
  </si>
  <si>
    <t>MH3012460</t>
  </si>
  <si>
    <t>MH3012461</t>
  </si>
  <si>
    <t>Thiết kế đồ họa web</t>
  </si>
  <si>
    <t>MĐ3012431</t>
  </si>
  <si>
    <t>Thực tập thiết kế web Responsive</t>
  </si>
  <si>
    <t>MĐ3012441</t>
  </si>
  <si>
    <t>MH3012426</t>
  </si>
  <si>
    <t>2(1,1,)</t>
  </si>
  <si>
    <t>MH3012427</t>
  </si>
  <si>
    <t>MH3012432</t>
  </si>
  <si>
    <t>MH3012433</t>
  </si>
  <si>
    <t>MH3012438</t>
  </si>
  <si>
    <t>Xuất bản web</t>
  </si>
  <si>
    <t>Lập trình Windows cơ bản</t>
  </si>
  <si>
    <t>Mạng máy tính cơ bản</t>
  </si>
  <si>
    <t>Lập trình giao diện web</t>
  </si>
  <si>
    <t>Lập trình PHP</t>
  </si>
  <si>
    <t>Lập trình python cơ bản</t>
  </si>
  <si>
    <t>24CDTH01</t>
  </si>
  <si>
    <t>24CDTHPM01</t>
  </si>
  <si>
    <t>24CDTKW01</t>
  </si>
  <si>
    <t>MĐ3012212</t>
  </si>
  <si>
    <t>MĐ3012216</t>
  </si>
  <si>
    <t>MH3012213</t>
  </si>
  <si>
    <t>MH3012214</t>
  </si>
  <si>
    <t>MH3012215</t>
  </si>
  <si>
    <t>Ứng cứu sự cố phần cứng - mạng</t>
  </si>
  <si>
    <t>23CDTH01</t>
  </si>
  <si>
    <t>CNTT (UDPM)</t>
  </si>
  <si>
    <t>CNTT(UDPM)</t>
  </si>
  <si>
    <t>MĐ3101926</t>
  </si>
  <si>
    <t>MĐ3101325</t>
  </si>
  <si>
    <t>Quản lý dự án CNTT</t>
  </si>
  <si>
    <t>MĐ3101326</t>
  </si>
  <si>
    <t>Lập trình mạng</t>
  </si>
  <si>
    <t>MĐ3101327</t>
  </si>
  <si>
    <t>Thương mại điện tử</t>
  </si>
  <si>
    <t>MĐ3101328</t>
  </si>
  <si>
    <t>MĐ3101329</t>
  </si>
  <si>
    <t>MĐ3101927</t>
  </si>
  <si>
    <t>23CDTHPM01</t>
  </si>
  <si>
    <t>MĐ3012236</t>
  </si>
  <si>
    <t>MH3012225</t>
  </si>
  <si>
    <t>MĐ3012239</t>
  </si>
  <si>
    <t>MĐ3012240</t>
  </si>
  <si>
    <t>Django Python Framework</t>
  </si>
  <si>
    <t>MĐ3012241</t>
  </si>
  <si>
    <t>Xây dựng website thương mại điện tử</t>
  </si>
  <si>
    <t>MĐ2012442</t>
  </si>
  <si>
    <t>Xử lý ảnh</t>
  </si>
  <si>
    <t>MĐ2012444</t>
  </si>
  <si>
    <t>MH2012404</t>
  </si>
  <si>
    <t>MH2072400</t>
  </si>
  <si>
    <t>3(0,3,)</t>
  </si>
  <si>
    <t>MH2101201</t>
  </si>
  <si>
    <t>MH2109020</t>
  </si>
  <si>
    <t>Tin học ứng dụng</t>
  </si>
  <si>
    <t>23CDTKW01</t>
  </si>
  <si>
    <t>27.T.TH1</t>
  </si>
  <si>
    <t>Giáo dục Quốc phòng và An ninh</t>
  </si>
  <si>
    <t>27.T.TH1 - TH5</t>
  </si>
  <si>
    <t>MĐ2012423</t>
  </si>
  <si>
    <t>MĐ2012424</t>
  </si>
  <si>
    <t>Thiết kế đồ họa 2D</t>
  </si>
  <si>
    <t>MH2012420</t>
  </si>
  <si>
    <t>TK&amp;QL Website</t>
  </si>
  <si>
    <t>27.SP.IT1</t>
  </si>
  <si>
    <t>MH2012402</t>
  </si>
  <si>
    <t>MH2012406</t>
  </si>
  <si>
    <t>27.T.MT1</t>
  </si>
  <si>
    <t>QT mạng máy tính</t>
  </si>
  <si>
    <t>MĐ2012440</t>
  </si>
  <si>
    <t>MĐ2012443</t>
  </si>
  <si>
    <t>Lập trình sự kiện trang web</t>
  </si>
  <si>
    <t>MĐ2012445</t>
  </si>
  <si>
    <t>Kỹ thuật lập trình nâng cao</t>
  </si>
  <si>
    <t>MĐ2012446</t>
  </si>
  <si>
    <t>Lập trình Android cơ bản</t>
  </si>
  <si>
    <t>MH2012401</t>
  </si>
  <si>
    <t>MH2012407</t>
  </si>
  <si>
    <t>Tiếng Anh chuyên ngành tin học</t>
  </si>
  <si>
    <t>Quản trị mạng Windows Server</t>
  </si>
  <si>
    <t>26.T.TH1</t>
  </si>
  <si>
    <t>MĐ2012431</t>
  </si>
  <si>
    <t>MH2012418</t>
  </si>
  <si>
    <t>MH2012426</t>
  </si>
  <si>
    <t>MH2012429</t>
  </si>
  <si>
    <t>MĐ2012435</t>
  </si>
  <si>
    <t>Kỹ thuật chụp ảnh</t>
  </si>
  <si>
    <t>MĐ2012436</t>
  </si>
  <si>
    <t>Kỹ thuật dựng phim</t>
  </si>
  <si>
    <t>26.SP.IT1</t>
  </si>
  <si>
    <t>Lập trình web</t>
  </si>
  <si>
    <t>MH2012408</t>
  </si>
  <si>
    <t>MH2012409</t>
  </si>
  <si>
    <t>MH2012410</t>
  </si>
  <si>
    <t>MH2012413</t>
  </si>
  <si>
    <t>MH2012414</t>
  </si>
  <si>
    <t>26.T.MT1</t>
  </si>
  <si>
    <t>Bảo mật ứng dụng web</t>
  </si>
  <si>
    <t>)</t>
  </si>
  <si>
    <t>,)</t>
  </si>
  <si>
    <t>3(1,2,</t>
  </si>
  <si>
    <t>5(5,0,10)</t>
  </si>
  <si>
    <t>Bảo trì xử lý sự cố máy tính</t>
  </si>
  <si>
    <t>Mạng không dây</t>
  </si>
  <si>
    <t>.</t>
  </si>
  <si>
    <t>Khóa mới</t>
  </si>
  <si>
    <r>
      <t xml:space="preserve">DANH MỤC HỌC PHẦN </t>
    </r>
    <r>
      <rPr>
        <b/>
        <sz val="12"/>
        <color rgb="FFFF0000"/>
        <rFont val="Times New Roman"/>
        <family val="1"/>
      </rPr>
      <t>CAO ĐẲNG VÀ TRUNG CẤP</t>
    </r>
    <r>
      <rPr>
        <b/>
        <sz val="12"/>
        <rFont val="Times New Roman"/>
        <family val="1"/>
      </rPr>
      <t xml:space="preserve"> - HỌC KỲ 1 - NĂM HỌC 2025 - 2026</t>
    </r>
  </si>
  <si>
    <t>Tên môn học, mô đun</t>
  </si>
  <si>
    <t>Mã môn</t>
  </si>
  <si>
    <t>MĐ3012429</t>
  </si>
  <si>
    <t>MH3012424</t>
  </si>
  <si>
    <t>MH3012430</t>
  </si>
  <si>
    <t>MĐ3012440</t>
  </si>
  <si>
    <t>MH3012425</t>
  </si>
  <si>
    <t>MH3109022</t>
  </si>
  <si>
    <t>MH3107210</t>
  </si>
  <si>
    <t>MH3012441</t>
  </si>
  <si>
    <t>MH3012440</t>
  </si>
  <si>
    <t>MH3012404</t>
  </si>
  <si>
    <t>MH3012403</t>
  </si>
  <si>
    <t>MH3012406</t>
  </si>
  <si>
    <t>MH3012409</t>
  </si>
  <si>
    <t>Phân tích và thiết kế hệ CSDL</t>
  </si>
  <si>
    <t>Thiết kế web</t>
  </si>
  <si>
    <t>Thiết kế web với Figma</t>
  </si>
  <si>
    <t>Thành phần và NL thiết kế</t>
  </si>
  <si>
    <t>Tiếng Anh 2</t>
  </si>
  <si>
    <t>Cấu trúc dữ liệu</t>
  </si>
  <si>
    <t>Hệ điều hành</t>
  </si>
  <si>
    <t xml:space="preserve">Lắp ráp và cài đặt máy tính </t>
  </si>
  <si>
    <t>3 (1,2)</t>
  </si>
  <si>
    <t>2(1,1)</t>
  </si>
  <si>
    <t>3(2,1)</t>
  </si>
  <si>
    <t>2(0,2)</t>
  </si>
  <si>
    <t>4(3,1)</t>
  </si>
  <si>
    <t>3(1,2)</t>
  </si>
  <si>
    <t>3 (2,1)</t>
  </si>
  <si>
    <t>24CDTH01,02</t>
  </si>
  <si>
    <t>25CDTH01,02</t>
  </si>
  <si>
    <t>Công nghệ thông tin</t>
  </si>
  <si>
    <t>MH2012448</t>
  </si>
  <si>
    <t>HQT Cơ sở dữ liệu</t>
  </si>
  <si>
    <t>MH2012447</t>
  </si>
  <si>
    <t>Thiết kế Web</t>
  </si>
  <si>
    <t>4 (2,2)</t>
  </si>
  <si>
    <t>MH2012441</t>
  </si>
  <si>
    <t>Kỹ thuật lập trình cơ bản</t>
  </si>
  <si>
    <t>MH2108019</t>
  </si>
  <si>
    <t>MH2108103</t>
  </si>
  <si>
    <t>MH2109105</t>
  </si>
  <si>
    <t>Giáo dục Chính trị</t>
  </si>
  <si>
    <t>2(2,0)</t>
  </si>
  <si>
    <t>1(1,0)</t>
  </si>
  <si>
    <t>1(0,1)</t>
  </si>
  <si>
    <t>MH2012421</t>
  </si>
  <si>
    <t>Thiết kế ý tưởng</t>
  </si>
  <si>
    <t>2 (1,1)</t>
  </si>
  <si>
    <t>MH2012419</t>
  </si>
  <si>
    <t>Màu sắc và NL thiết kế</t>
  </si>
  <si>
    <t>MH2012425</t>
  </si>
  <si>
    <t>MĐ2012428</t>
  </si>
  <si>
    <t>Thiết kế giao diện Web</t>
  </si>
  <si>
    <t>MH2012400</t>
  </si>
  <si>
    <t>Viết báo cáo và thuyềt trình</t>
  </si>
  <si>
    <t>MH2012405</t>
  </si>
  <si>
    <t>Hệ điều hành Windows</t>
  </si>
  <si>
    <t>27.T.TH1_CS2</t>
  </si>
  <si>
    <t>Tín chỉ</t>
  </si>
  <si>
    <t>MH3012435</t>
  </si>
  <si>
    <t>MH3012436</t>
  </si>
  <si>
    <t>MH3012437</t>
  </si>
  <si>
    <t>MH3012439</t>
  </si>
  <si>
    <t>MĐ3012442</t>
  </si>
  <si>
    <t>MĐ3012443</t>
  </si>
  <si>
    <t>MH3012446</t>
  </si>
  <si>
    <t>Quản trị Web Hosting</t>
  </si>
  <si>
    <t>Kiểm thử ứng dụng Web</t>
  </si>
  <si>
    <t>Lập trình Python NC</t>
  </si>
  <si>
    <t>Thực hành Xây dựng website bán hàng</t>
  </si>
  <si>
    <t>Thực tập Thiết kế giao diện web với ReactJS</t>
  </si>
  <si>
    <t>SEO website</t>
  </si>
  <si>
    <t>2 (0,2)</t>
  </si>
  <si>
    <t>Hệ quản trị nội dung web</t>
  </si>
  <si>
    <t>Thực tập lập trình giao diện web</t>
  </si>
  <si>
    <t>Thực tập xây dựng ứng dụng web</t>
  </si>
  <si>
    <t>Thực tập xây dựng trang web với ReactJS</t>
  </si>
  <si>
    <t>MĐ2012427</t>
  </si>
  <si>
    <t>MĐ2012430</t>
  </si>
  <si>
    <t>MĐ2012432</t>
  </si>
  <si>
    <t>MĐ2012433</t>
  </si>
  <si>
    <t>MH2012437</t>
  </si>
  <si>
    <t>Tiểu luận</t>
  </si>
  <si>
    <t>Thực hành trên máy</t>
  </si>
  <si>
    <t>26.SP.IT1, 3</t>
  </si>
  <si>
    <t>An toàn lao động và môi trường công nghiệp</t>
  </si>
  <si>
    <t>Thiết kế mạng</t>
  </si>
  <si>
    <t>Giám sát mạng</t>
  </si>
  <si>
    <t>Bảo mật hệ thống mạng</t>
  </si>
  <si>
    <t>Cơ sở dữ liệu và Ứng dụng</t>
  </si>
  <si>
    <t>MH3012405</t>
  </si>
  <si>
    <t>MH3012407</t>
  </si>
  <si>
    <t>MH3012408</t>
  </si>
  <si>
    <t>MH3012412</t>
  </si>
  <si>
    <t>MH3012413</t>
  </si>
  <si>
    <t>MH3012447</t>
  </si>
  <si>
    <t>3 (3,0)</t>
  </si>
  <si>
    <t>Trắc nghiệm</t>
  </si>
  <si>
    <t>An toàn thông tin</t>
  </si>
  <si>
    <t>Thiết kế và xây dựng hệ thống camera an ninh</t>
  </si>
  <si>
    <t>MH2012411</t>
  </si>
  <si>
    <t>MĐ2012412</t>
  </si>
  <si>
    <t>MH2012416</t>
  </si>
  <si>
    <t>MH2012417</t>
  </si>
  <si>
    <t>8 (0,8)</t>
  </si>
  <si>
    <t>MH3012451</t>
  </si>
  <si>
    <t>Xây dựng ứng dụng với ASP.NET</t>
  </si>
  <si>
    <t>4(2,2)</t>
  </si>
  <si>
    <t>Phân tích và thiết kế hệ thống thông tin</t>
  </si>
  <si>
    <t>MH3012445</t>
  </si>
  <si>
    <t>Lập trình Windows nâng cao</t>
  </si>
  <si>
    <t>Lập trình trên thiết bị di động nâng cao</t>
  </si>
  <si>
    <t>Phát triển phần mềm mã nguồn mở</t>
  </si>
  <si>
    <t>Lập trình PHP và MySQL cơ bản</t>
  </si>
  <si>
    <t>MH3012450</t>
  </si>
  <si>
    <t>MH3012449</t>
  </si>
  <si>
    <t>MH3012452</t>
  </si>
  <si>
    <t>MH3012444</t>
  </si>
  <si>
    <t>MĐ2012449</t>
  </si>
  <si>
    <t xml:space="preserve"> 8(0,8)</t>
  </si>
  <si>
    <t>MĐ2012454</t>
  </si>
  <si>
    <t>Lập trình Android nâng cao</t>
  </si>
  <si>
    <t>MĐ2012453</t>
  </si>
  <si>
    <t>MĐ2012452</t>
  </si>
  <si>
    <t>MĐ2012451</t>
  </si>
  <si>
    <t>26.T.TH1,3,5</t>
  </si>
  <si>
    <r>
      <t xml:space="preserve">DANH MỤC HỌC PHẦN </t>
    </r>
    <r>
      <rPr>
        <b/>
        <sz val="12"/>
        <color rgb="FFFF0000"/>
        <rFont val="Times New Roman"/>
        <family val="1"/>
      </rPr>
      <t>CAO ĐẲNG VÀ TRUNG CẤP</t>
    </r>
    <r>
      <rPr>
        <b/>
        <sz val="12"/>
        <rFont val="Times New Roman"/>
        <family val="1"/>
      </rPr>
      <t xml:space="preserve"> - HỌC KỲ 2 - NĂM HỌC 2025 - 2026</t>
    </r>
  </si>
  <si>
    <t>Xây dựng ứng dụng web</t>
  </si>
  <si>
    <t>MH2012438</t>
  </si>
  <si>
    <t>MH2012434</t>
  </si>
  <si>
    <t>6 (0,6)</t>
  </si>
  <si>
    <t>MĐ2012415</t>
  </si>
  <si>
    <t>MĐ2012450</t>
  </si>
  <si>
    <t>6(0,6)</t>
  </si>
  <si>
    <t>Phần mềm</t>
  </si>
  <si>
    <t>Phần cứng</t>
  </si>
  <si>
    <t>Phần mềm máy ảo VMWare và Source cài sẫn</t>
  </si>
  <si>
    <t>Phần mềm máy ảo VMWare và Source cài sẳn, các file Source gốc đóng gói dạng ISO</t>
  </si>
  <si>
    <r>
      <t xml:space="preserve">Phần mềm máy ảo VMWare và </t>
    </r>
    <r>
      <rPr>
        <sz val="9"/>
        <color rgb="FFFF0000"/>
        <rFont val="Arial"/>
        <family val="2"/>
      </rPr>
      <t>Source Linux</t>
    </r>
    <r>
      <rPr>
        <sz val="9"/>
        <rFont val="Arial"/>
        <family val="2"/>
      </rPr>
      <t xml:space="preserve"> cái sẳn (Centor, Ubuntu), các file Source gốc đóng gói dạng ISO</t>
    </r>
  </si>
  <si>
    <t>Phần mềm Netbean để lập trình TCP, GUI trên máy tính cá nhân</t>
  </si>
  <si>
    <t>MS SQL Server 2012, MS Visual Studio 2012</t>
  </si>
  <si>
    <t>Cấu hình i5 trở lên, RAM 4GB</t>
  </si>
  <si>
    <t>Cấu hình i5 trở lên, RAM &gt;=8GB</t>
  </si>
  <si>
    <t>MS SQL Server 2010, MS Visual Studio 2010</t>
  </si>
  <si>
    <t>Phần mềm Android Studio, Máy ảo Android</t>
  </si>
  <si>
    <t>Notepad++, Dreamweaver, Wamp</t>
  </si>
  <si>
    <t>Máy tính có kết nối internet</t>
  </si>
  <si>
    <t>Visual Code, Xampp</t>
  </si>
  <si>
    <t>Microsoft Office</t>
  </si>
  <si>
    <t>Microsoft Office (Word, Excel, PP)</t>
  </si>
  <si>
    <t>Phần mềm Packet tracer</t>
  </si>
  <si>
    <t>Phần mềm Dev-C++</t>
  </si>
  <si>
    <t>Phòng thực hành mạng, máy server</t>
  </si>
  <si>
    <t>Mạng internet</t>
  </si>
  <si>
    <t>Phần mềm ảo mô phỏng như Packet Tracer, GNS3</t>
  </si>
  <si>
    <t>Visual Studio</t>
  </si>
  <si>
    <t>Phần mềm thiết kế, lắp đặt hệ thống thiết bị giám sát, thiết bị an ninh</t>
  </si>
  <si>
    <t xml:space="preserve">Mạng Internet, tên miền DynDNS, </t>
  </si>
  <si>
    <t>Mạng internet, Cấu hình i5 trở lên, RAM &gt;=8GB</t>
  </si>
  <si>
    <t>Phòng thực hành mạng</t>
  </si>
  <si>
    <t>Visual Code</t>
  </si>
  <si>
    <t>Phần mềm lập trình Java: Jcreator</t>
  </si>
  <si>
    <t>MS SQL Server</t>
  </si>
  <si>
    <t>MySQL</t>
  </si>
  <si>
    <t>Illustrator</t>
  </si>
  <si>
    <t>Photoshop</t>
  </si>
  <si>
    <t>Phần mềm thiết kế web</t>
  </si>
  <si>
    <t>Phần mềm lập trình Python</t>
  </si>
  <si>
    <t>Adobe Photoshop</t>
  </si>
  <si>
    <t>NetBeans</t>
  </si>
  <si>
    <t>Phần mềm Vmware, bộ phần mềm LRCĐ</t>
  </si>
  <si>
    <r>
      <t xml:space="preserve">Phần mềm máy ảo VMWare và </t>
    </r>
    <r>
      <rPr>
        <sz val="9"/>
        <color rgb="FFFF0000"/>
        <rFont val="Arial"/>
        <family val="2"/>
      </rPr>
      <t>Source Linux</t>
    </r>
    <r>
      <rPr>
        <sz val="9"/>
        <rFont val="Arial"/>
        <family val="2"/>
      </rPr>
      <t xml:space="preserve"> cái sẳn (Centor, Ubuntu), các file </t>
    </r>
    <r>
      <rPr>
        <sz val="9"/>
        <color rgb="FFFF0000"/>
        <rFont val="Arial"/>
        <family val="2"/>
      </rPr>
      <t>Source windows</t>
    </r>
  </si>
  <si>
    <t>Phần mềm VNC, Vmware, máy server</t>
  </si>
  <si>
    <t>Phần mềm Cisco Packet Tracer</t>
  </si>
  <si>
    <t>Mạng LAN, WAN</t>
  </si>
  <si>
    <t>Visual Studio hoặc Dev C++</t>
  </si>
  <si>
    <t>Phần mềm Premiere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</si>
</sst>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6"/>
      <color rgb="FFFF0000"/>
      <name val="Times New Roman"/>
      <family val="1"/>
    </font>
    <font>
      <sz val="1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7030A0"/>
      <name val="Times New Roman"/>
      <family val="1"/>
    </font>
    <font>
      <b/>
      <sz val="16"/>
      <color rgb="FF7030A0"/>
      <name val="Times New Roman"/>
      <family val="1"/>
    </font>
    <font>
      <sz val="9"/>
      <name val="Arial"/>
      <family val="2"/>
    </font>
    <font>
      <b/>
      <sz val="12"/>
      <color rgb="FFFF000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8"/>
      <color rgb="FFFE3B1A"/>
      <name val="Arial"/>
      <family val="2"/>
    </font>
    <font>
      <b/>
      <i/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FF0000"/>
      <name val="Arial"/>
      <family val="2"/>
    </font>
    <font>
      <b/>
      <sz val="16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1" fillId="0" borderId="0" applyFont="0" applyFill="0" applyBorder="0" applyAlignment="0" applyProtection="0"/>
    <xf numFmtId="0" fontId="11" fillId="0" borderId="0"/>
    <xf numFmtId="0" fontId="28" fillId="0" borderId="0"/>
    <xf numFmtId="0" fontId="11" fillId="0" borderId="0"/>
  </cellStyleXfs>
  <cellXfs count="231"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shrinkToFit="1"/>
    </xf>
    <xf numFmtId="0" fontId="6" fillId="0" borderId="0" xfId="0" applyFont="1" applyAlignment="1">
      <alignment horizontal="center" shrinkToFit="1"/>
    </xf>
    <xf numFmtId="0" fontId="3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8" fillId="0" borderId="0" xfId="0" applyFont="1" applyAlignment="1">
      <alignment shrinkToFit="1"/>
    </xf>
    <xf numFmtId="0" fontId="13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shrinkToFit="1"/>
    </xf>
    <xf numFmtId="0" fontId="7" fillId="0" borderId="1" xfId="0" applyFont="1" applyBorder="1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center" shrinkToFit="1"/>
    </xf>
    <xf numFmtId="0" fontId="16" fillId="0" borderId="0" xfId="0" applyFont="1" applyAlignment="1">
      <alignment horizontal="center"/>
    </xf>
    <xf numFmtId="0" fontId="18" fillId="0" borderId="1" xfId="0" quotePrefix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shrinkToFit="1"/>
    </xf>
    <xf numFmtId="0" fontId="7" fillId="0" borderId="1" xfId="0" quotePrefix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5" fillId="0" borderId="0" xfId="0" applyFont="1" applyAlignment="1">
      <alignment shrinkToFit="1"/>
    </xf>
    <xf numFmtId="0" fontId="5" fillId="3" borderId="1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/>
    </xf>
    <xf numFmtId="0" fontId="7" fillId="0" borderId="2" xfId="0" applyFont="1" applyBorder="1" applyAlignment="1" applyProtection="1">
      <alignment horizontal="left" vertical="center" shrinkToFit="1"/>
      <protection locked="0"/>
    </xf>
    <xf numFmtId="0" fontId="7" fillId="0" borderId="3" xfId="0" applyFont="1" applyBorder="1" applyAlignment="1" applyProtection="1">
      <alignment horizontal="left" vertical="center" shrinkToFit="1"/>
      <protection locked="0"/>
    </xf>
    <xf numFmtId="0" fontId="7" fillId="0" borderId="4" xfId="0" applyFont="1" applyBorder="1" applyAlignment="1" applyProtection="1">
      <alignment horizontal="left" vertical="center" shrinkToFit="1"/>
      <protection locked="0"/>
    </xf>
    <xf numFmtId="0" fontId="22" fillId="0" borderId="3" xfId="0" applyFont="1" applyBorder="1" applyAlignment="1" applyProtection="1">
      <alignment horizontal="left" vertical="center" shrinkToFit="1"/>
      <protection locked="0"/>
    </xf>
    <xf numFmtId="0" fontId="7" fillId="4" borderId="3" xfId="0" applyFont="1" applyFill="1" applyBorder="1" applyAlignment="1" applyProtection="1">
      <alignment horizontal="left" vertical="center" shrinkToFit="1"/>
      <protection locked="0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left" vertical="center" shrinkToFit="1"/>
    </xf>
    <xf numFmtId="0" fontId="16" fillId="0" borderId="0" xfId="0" applyFont="1" applyAlignment="1">
      <alignment shrinkToFit="1"/>
    </xf>
    <xf numFmtId="0" fontId="4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 shrinkToFit="1"/>
    </xf>
    <xf numFmtId="0" fontId="4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4" borderId="2" xfId="0" applyFont="1" applyFill="1" applyBorder="1" applyAlignment="1" applyProtection="1">
      <alignment horizontal="left" vertical="center" shrinkToFit="1"/>
      <protection locked="0"/>
    </xf>
    <xf numFmtId="0" fontId="7" fillId="4" borderId="4" xfId="0" applyFont="1" applyFill="1" applyBorder="1" applyAlignment="1" applyProtection="1">
      <alignment horizontal="left" vertical="center" shrinkToFit="1"/>
      <protection locked="0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 shrinkToFit="1"/>
    </xf>
    <xf numFmtId="0" fontId="12" fillId="6" borderId="1" xfId="0" applyFont="1" applyFill="1" applyBorder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6" fillId="0" borderId="0" xfId="0" quotePrefix="1" applyFont="1" applyAlignment="1">
      <alignment shrinkToFit="1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shrinkToFit="1"/>
    </xf>
    <xf numFmtId="0" fontId="7" fillId="5" borderId="1" xfId="0" applyFont="1" applyFill="1" applyBorder="1" applyAlignment="1" applyProtection="1">
      <alignment horizontal="left" vertical="center" shrinkToFit="1"/>
      <protection locked="0"/>
    </xf>
    <xf numFmtId="0" fontId="1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shrinkToFit="1"/>
    </xf>
    <xf numFmtId="0" fontId="12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shrinkToFit="1"/>
    </xf>
    <xf numFmtId="0" fontId="6" fillId="0" borderId="1" xfId="0" applyFont="1" applyBorder="1" applyAlignment="1">
      <alignment horizontal="center" shrinkToFit="1"/>
    </xf>
    <xf numFmtId="0" fontId="1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horizontal="left"/>
    </xf>
    <xf numFmtId="0" fontId="29" fillId="8" borderId="1" xfId="0" quotePrefix="1" applyFont="1" applyFill="1" applyBorder="1" applyAlignment="1">
      <alignment vertical="center"/>
    </xf>
    <xf numFmtId="0" fontId="29" fillId="8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9" fillId="0" borderId="0" xfId="0" applyFont="1" applyAlignment="1">
      <alignment shrinkToFit="1"/>
    </xf>
    <xf numFmtId="0" fontId="29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shrinkToFit="1"/>
    </xf>
    <xf numFmtId="0" fontId="6" fillId="5" borderId="0" xfId="0" applyFont="1" applyFill="1" applyAlignment="1">
      <alignment horizontal="center"/>
    </xf>
    <xf numFmtId="0" fontId="4" fillId="5" borderId="0" xfId="0" applyFont="1" applyFill="1"/>
    <xf numFmtId="0" fontId="4" fillId="0" borderId="1" xfId="0" applyFont="1" applyBorder="1" applyAlignment="1">
      <alignment horizontal="center"/>
    </xf>
    <xf numFmtId="0" fontId="29" fillId="9" borderId="1" xfId="0" applyFont="1" applyFill="1" applyBorder="1" applyAlignment="1">
      <alignment horizontal="center" vertical="center"/>
    </xf>
    <xf numFmtId="0" fontId="30" fillId="0" borderId="0" xfId="0" applyFont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shrinkToFit="1"/>
    </xf>
    <xf numFmtId="0" fontId="31" fillId="0" borderId="1" xfId="0" applyFont="1" applyBorder="1" applyAlignment="1">
      <alignment horizontal="center" shrinkToFit="1"/>
    </xf>
    <xf numFmtId="0" fontId="3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2" borderId="1" xfId="0" applyFont="1" applyFill="1" applyBorder="1" applyAlignment="1">
      <alignment horizontal="center" shrinkToFit="1"/>
    </xf>
    <xf numFmtId="0" fontId="30" fillId="0" borderId="1" xfId="0" applyFont="1" applyBorder="1"/>
    <xf numFmtId="0" fontId="31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shrinkToFit="1"/>
    </xf>
    <xf numFmtId="0" fontId="18" fillId="5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 shrinkToFit="1"/>
    </xf>
    <xf numFmtId="0" fontId="18" fillId="9" borderId="1" xfId="0" applyFont="1" applyFill="1" applyBorder="1" applyAlignment="1">
      <alignment horizontal="center"/>
    </xf>
    <xf numFmtId="0" fontId="32" fillId="8" borderId="1" xfId="0" applyFont="1" applyFill="1" applyBorder="1" applyAlignment="1">
      <alignment horizontal="left" vertical="center" wrapText="1"/>
    </xf>
    <xf numFmtId="0" fontId="32" fillId="6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vertical="center"/>
    </xf>
    <xf numFmtId="0" fontId="32" fillId="8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32" fillId="8" borderId="1" xfId="0" quotePrefix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shrinkToFit="1"/>
    </xf>
    <xf numFmtId="0" fontId="14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center" shrinkToFit="1"/>
    </xf>
    <xf numFmtId="0" fontId="3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8" fillId="0" borderId="1" xfId="0" applyFont="1" applyBorder="1" applyAlignment="1">
      <alignment vertical="center" shrinkToFit="1"/>
    </xf>
    <xf numFmtId="0" fontId="18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 wrapText="1"/>
    </xf>
    <xf numFmtId="0" fontId="18" fillId="9" borderId="1" xfId="0" quotePrefix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shrinkToFi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left" vertical="center" shrinkToFit="1"/>
    </xf>
    <xf numFmtId="0" fontId="18" fillId="9" borderId="1" xfId="0" applyFont="1" applyFill="1" applyBorder="1" applyAlignment="1">
      <alignment vertical="center" shrinkToFit="1"/>
    </xf>
    <xf numFmtId="0" fontId="8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 shrinkToFi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wrapText="1" shrinkToFit="1"/>
    </xf>
    <xf numFmtId="0" fontId="5" fillId="0" borderId="0" xfId="0" applyFont="1" applyAlignment="1">
      <alignment wrapText="1" shrinkToFit="1"/>
    </xf>
    <xf numFmtId="0" fontId="6" fillId="0" borderId="0" xfId="0" applyFont="1" applyAlignment="1">
      <alignment horizontal="center" wrapText="1" shrinkToFi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 shrinkToFit="1"/>
    </xf>
    <xf numFmtId="0" fontId="13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 shrinkToFi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 shrinkToFit="1"/>
    </xf>
    <xf numFmtId="0" fontId="17" fillId="0" borderId="0" xfId="0" applyFont="1" applyAlignment="1">
      <alignment horizontal="center" wrapText="1"/>
    </xf>
    <xf numFmtId="0" fontId="5" fillId="7" borderId="1" xfId="0" applyFont="1" applyFill="1" applyBorder="1" applyAlignment="1">
      <alignment horizontal="center" vertical="center" wrapText="1" shrinkToFit="1"/>
    </xf>
    <xf numFmtId="0" fontId="21" fillId="0" borderId="1" xfId="0" applyFont="1" applyBorder="1" applyAlignment="1">
      <alignment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horizontal="left" vertical="center" wrapText="1" shrinkToFit="1"/>
    </xf>
    <xf numFmtId="0" fontId="18" fillId="0" borderId="1" xfId="0" quotePrefix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 shrinkToFit="1"/>
    </xf>
    <xf numFmtId="0" fontId="1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18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18" fillId="0" borderId="1" xfId="0" quotePrefix="1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33" fillId="0" borderId="6" xfId="4" quotePrefix="1" applyFont="1" applyBorder="1" applyAlignment="1">
      <alignment horizontal="center" vertical="center" wrapText="1"/>
    </xf>
    <xf numFmtId="0" fontId="34" fillId="0" borderId="6" xfId="4" quotePrefix="1" applyFont="1" applyBorder="1" applyAlignment="1">
      <alignment horizontal="center" vertical="center" wrapText="1"/>
    </xf>
    <xf numFmtId="0" fontId="34" fillId="2" borderId="6" xfId="4" quotePrefix="1" applyFont="1" applyFill="1" applyBorder="1" applyAlignment="1">
      <alignment horizontal="left" vertical="center" wrapText="1" shrinkToFit="1"/>
    </xf>
    <xf numFmtId="0" fontId="34" fillId="0" borderId="6" xfId="4" quotePrefix="1" applyFont="1" applyBorder="1" applyAlignment="1">
      <alignment horizontal="left" vertical="center" wrapText="1" shrinkToFit="1"/>
    </xf>
    <xf numFmtId="0" fontId="14" fillId="0" borderId="1" xfId="0" applyFont="1" applyBorder="1" applyAlignment="1">
      <alignment horizontal="center" vertical="center" wrapText="1"/>
    </xf>
    <xf numFmtId="0" fontId="34" fillId="4" borderId="6" xfId="4" quotePrefix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 shrinkToFit="1"/>
    </xf>
    <xf numFmtId="0" fontId="18" fillId="9" borderId="1" xfId="0" quotePrefix="1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shrinkToFi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quotePrefix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8" fillId="2" borderId="1" xfId="0" quotePrefix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 wrapText="1" shrinkToFit="1"/>
    </xf>
    <xf numFmtId="0" fontId="18" fillId="0" borderId="1" xfId="0" quotePrefix="1" applyFont="1" applyBorder="1" applyAlignment="1">
      <alignment vertical="center" wrapText="1"/>
    </xf>
    <xf numFmtId="0" fontId="18" fillId="9" borderId="1" xfId="0" applyFont="1" applyFill="1" applyBorder="1" applyAlignment="1">
      <alignment vertical="center" wrapText="1" shrinkToFit="1"/>
    </xf>
    <xf numFmtId="0" fontId="18" fillId="9" borderId="1" xfId="0" quotePrefix="1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 shrinkToFit="1"/>
    </xf>
    <xf numFmtId="0" fontId="18" fillId="9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left" shrinkToFit="1"/>
    </xf>
    <xf numFmtId="0" fontId="6" fillId="0" borderId="5" xfId="0" applyFont="1" applyBorder="1" applyAlignment="1">
      <alignment horizontal="left" shrinkToFi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2 3" xfId="4" xr:uid="{2DD6CC58-44FC-441C-9B4A-D9AE77B7DB79}"/>
    <cellStyle name="Normal 48" xfId="2" xr:uid="{00000000-0005-0000-0000-000003000000}"/>
  </cellStyles>
  <dxfs count="0"/>
  <tableStyles count="0" defaultTableStyle="TableStyleMedium2" defaultPivotStyle="PivotStyleLight16"/>
  <colors>
    <mruColors>
      <color rgb="FF66FF99"/>
      <color rgb="FFF45746"/>
      <color rgb="FFF69D94"/>
      <color rgb="FF00FF00"/>
      <color rgb="FFFF7C80"/>
      <color rgb="FFFE3B1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50404</xdr:colOff>
      <xdr:row>3</xdr:row>
      <xdr:rowOff>0</xdr:rowOff>
    </xdr:from>
    <xdr:to>
      <xdr:col>4</xdr:col>
      <xdr:colOff>616189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9139286-D152-4684-9420-4BCB596347ED}"/>
            </a:ext>
          </a:extLst>
        </xdr:cNvPr>
        <xdr:cNvCxnSpPr/>
      </xdr:nvCxnSpPr>
      <xdr:spPr>
        <a:xfrm>
          <a:off x="1764904" y="628650"/>
          <a:ext cx="16421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1254876</xdr:colOff>
      <xdr:row>2</xdr:row>
      <xdr:rowOff>19050</xdr:rowOff>
    </xdr:from>
    <xdr:to>
      <xdr:col>19</xdr:col>
      <xdr:colOff>239511</xdr:colOff>
      <xdr:row>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884D416-2332-40BF-817D-8DA69F300288}"/>
            </a:ext>
          </a:extLst>
        </xdr:cNvPr>
        <xdr:cNvCxnSpPr/>
      </xdr:nvCxnSpPr>
      <xdr:spPr>
        <a:xfrm>
          <a:off x="9058275" y="209550"/>
          <a:ext cx="14301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50404</xdr:colOff>
      <xdr:row>3</xdr:row>
      <xdr:rowOff>0</xdr:rowOff>
    </xdr:from>
    <xdr:to>
      <xdr:col>4</xdr:col>
      <xdr:colOff>616189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96460EF-FB36-4F18-A7C4-6A6A07080DB4}"/>
            </a:ext>
          </a:extLst>
        </xdr:cNvPr>
        <xdr:cNvCxnSpPr/>
      </xdr:nvCxnSpPr>
      <xdr:spPr>
        <a:xfrm>
          <a:off x="1764904" y="628650"/>
          <a:ext cx="16421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1254876</xdr:colOff>
      <xdr:row>2</xdr:row>
      <xdr:rowOff>19050</xdr:rowOff>
    </xdr:from>
    <xdr:to>
      <xdr:col>19</xdr:col>
      <xdr:colOff>239511</xdr:colOff>
      <xdr:row>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A88B79C-9B44-456C-BDF4-1662B7631EA7}"/>
            </a:ext>
          </a:extLst>
        </xdr:cNvPr>
        <xdr:cNvCxnSpPr/>
      </xdr:nvCxnSpPr>
      <xdr:spPr>
        <a:xfrm>
          <a:off x="9058275" y="438150"/>
          <a:ext cx="14301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421879</xdr:colOff>
      <xdr:row>2</xdr:row>
      <xdr:rowOff>200025</xdr:rowOff>
    </xdr:from>
    <xdr:to>
      <xdr:col>4</xdr:col>
      <xdr:colOff>987664</xdr:colOff>
      <xdr:row>2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574404" y="619125"/>
          <a:ext cx="1280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1254876</xdr:colOff>
      <xdr:row>2</xdr:row>
      <xdr:rowOff>19050</xdr:rowOff>
    </xdr:from>
    <xdr:to>
      <xdr:col>18</xdr:col>
      <xdr:colOff>239511</xdr:colOff>
      <xdr:row>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8855826" y="438150"/>
          <a:ext cx="1737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421879</xdr:colOff>
      <xdr:row>2</xdr:row>
      <xdr:rowOff>200025</xdr:rowOff>
    </xdr:from>
    <xdr:to>
      <xdr:col>4</xdr:col>
      <xdr:colOff>987664</xdr:colOff>
      <xdr:row>2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574404" y="619125"/>
          <a:ext cx="1280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502401</xdr:colOff>
      <xdr:row>2</xdr:row>
      <xdr:rowOff>28575</xdr:rowOff>
    </xdr:from>
    <xdr:to>
      <xdr:col>17</xdr:col>
      <xdr:colOff>306186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055726" y="447675"/>
          <a:ext cx="17373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HoHanCuong\2016%20-%202017%20-%20HK1_29_09\___TKB%20Cao%20dang%20Khoa%209\_1.%20Phancongkhoiluongdukien_HK1__Caodang_Khoa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_CD_Khoa9_tach"/>
      <sheetName val="All_CD_Khoa9_goc"/>
      <sheetName val="SoluongNhaphoc_CDK9"/>
      <sheetName val="Tuan"/>
      <sheetName val="Sheet2"/>
      <sheetName val="DukienSophong"/>
      <sheetName val="Sheet1"/>
      <sheetName val="Day"/>
      <sheetName val="Sheet4"/>
      <sheetName val="Sheet3"/>
    </sheetNames>
    <sheetDataSet>
      <sheetData sheetId="0"/>
      <sheetData sheetId="1"/>
      <sheetData sheetId="2">
        <row r="1">
          <cell r="F1" t="str">
            <v>Mã chuyển</v>
          </cell>
          <cell r="G1" t="str">
            <v>Mã</v>
          </cell>
          <cell r="H1" t="str">
            <v>Tên lớp lý thuyết</v>
          </cell>
          <cell r="I1" t="str">
            <v>SLg</v>
          </cell>
          <cell r="J1" t="str">
            <v>Nam</v>
          </cell>
          <cell r="K1" t="str">
            <v>Nữ</v>
          </cell>
          <cell r="L1" t="str">
            <v>Đã tốt nghiệp</v>
          </cell>
          <cell r="M1" t="str">
            <v>Còn lại</v>
          </cell>
          <cell r="N1" t="str">
            <v>Số lớp dự kiến</v>
          </cell>
        </row>
        <row r="2">
          <cell r="F2" t="str">
            <v>16CD.CDT01</v>
          </cell>
          <cell r="G2" t="str">
            <v>16CDCDT01</v>
          </cell>
          <cell r="H2" t="str">
            <v>16CDCDT01</v>
          </cell>
          <cell r="I2">
            <v>38</v>
          </cell>
          <cell r="J2">
            <v>37</v>
          </cell>
          <cell r="K2">
            <v>1</v>
          </cell>
          <cell r="L2">
            <v>0</v>
          </cell>
          <cell r="M2">
            <v>38</v>
          </cell>
          <cell r="N2">
            <v>1</v>
          </cell>
        </row>
        <row r="3">
          <cell r="F3" t="str">
            <v>16CD.CDT02</v>
          </cell>
          <cell r="G3" t="str">
            <v>16CDCDT02</v>
          </cell>
          <cell r="H3" t="str">
            <v>16CDCDT02</v>
          </cell>
          <cell r="I3">
            <v>0</v>
          </cell>
        </row>
        <row r="4">
          <cell r="F4" t="str">
            <v>16CD.CK01</v>
          </cell>
          <cell r="G4" t="str">
            <v>16CDCK01</v>
          </cell>
          <cell r="H4" t="str">
            <v>16CDCK01</v>
          </cell>
          <cell r="I4">
            <v>40</v>
          </cell>
          <cell r="J4">
            <v>39</v>
          </cell>
          <cell r="K4">
            <v>1</v>
          </cell>
          <cell r="L4">
            <v>0</v>
          </cell>
          <cell r="M4">
            <v>40</v>
          </cell>
          <cell r="N4">
            <v>2</v>
          </cell>
        </row>
        <row r="5">
          <cell r="F5" t="str">
            <v>16CD.CK02</v>
          </cell>
          <cell r="G5" t="str">
            <v>16CDCK02</v>
          </cell>
          <cell r="H5" t="str">
            <v>16CDCK02</v>
          </cell>
          <cell r="I5">
            <v>33</v>
          </cell>
          <cell r="J5">
            <v>31</v>
          </cell>
          <cell r="K5">
            <v>2</v>
          </cell>
          <cell r="L5">
            <v>0</v>
          </cell>
          <cell r="M5">
            <v>33</v>
          </cell>
        </row>
        <row r="6">
          <cell r="F6" t="str">
            <v>16CD.CK03</v>
          </cell>
          <cell r="G6" t="str">
            <v>16CDCK03</v>
          </cell>
          <cell r="H6" t="str">
            <v>16CDCK03</v>
          </cell>
          <cell r="I6">
            <v>0</v>
          </cell>
        </row>
        <row r="7">
          <cell r="F7" t="str">
            <v>16CD.DKTDH01</v>
          </cell>
          <cell r="G7" t="str">
            <v>16CDDKTDH01</v>
          </cell>
          <cell r="H7" t="str">
            <v>16CDDKTDH01</v>
          </cell>
          <cell r="I7">
            <v>17</v>
          </cell>
          <cell r="J7">
            <v>17</v>
          </cell>
          <cell r="K7">
            <v>0</v>
          </cell>
          <cell r="L7">
            <v>0</v>
          </cell>
          <cell r="M7">
            <v>17</v>
          </cell>
          <cell r="N7">
            <v>1</v>
          </cell>
        </row>
        <row r="8">
          <cell r="F8" t="str">
            <v>16CD.DKTDH02</v>
          </cell>
          <cell r="G8" t="str">
            <v>16CDDKTDH02</v>
          </cell>
          <cell r="H8" t="str">
            <v>16CDDKTDH02</v>
          </cell>
          <cell r="I8">
            <v>0</v>
          </cell>
        </row>
        <row r="9">
          <cell r="F9" t="str">
            <v>16CD.DT01</v>
          </cell>
          <cell r="G9" t="str">
            <v>16CDDT01</v>
          </cell>
          <cell r="H9" t="str">
            <v>16CDDT01</v>
          </cell>
          <cell r="I9">
            <v>40</v>
          </cell>
          <cell r="J9">
            <v>40</v>
          </cell>
          <cell r="K9">
            <v>0</v>
          </cell>
          <cell r="L9">
            <v>0</v>
          </cell>
          <cell r="M9">
            <v>40</v>
          </cell>
          <cell r="N9">
            <v>2</v>
          </cell>
        </row>
        <row r="10">
          <cell r="F10" t="str">
            <v>16CD.DT02</v>
          </cell>
          <cell r="G10" t="str">
            <v>16CDDT02</v>
          </cell>
          <cell r="H10" t="str">
            <v>16CDDT02</v>
          </cell>
          <cell r="I10">
            <v>14</v>
          </cell>
          <cell r="J10">
            <v>14</v>
          </cell>
          <cell r="K10">
            <v>0</v>
          </cell>
          <cell r="L10">
            <v>0</v>
          </cell>
          <cell r="M10">
            <v>14</v>
          </cell>
        </row>
        <row r="11">
          <cell r="F11" t="str">
            <v>16CD.DT-TT01</v>
          </cell>
          <cell r="G11" t="str">
            <v>16CDDT-TT01</v>
          </cell>
          <cell r="H11" t="str">
            <v>16CDDT-TT01</v>
          </cell>
          <cell r="I11">
            <v>22</v>
          </cell>
          <cell r="J11">
            <v>19</v>
          </cell>
          <cell r="K11">
            <v>3</v>
          </cell>
          <cell r="L11">
            <v>0</v>
          </cell>
          <cell r="M11">
            <v>22</v>
          </cell>
          <cell r="N11">
            <v>1</v>
          </cell>
        </row>
        <row r="12">
          <cell r="F12" t="str">
            <v>16CD.DT-TT02</v>
          </cell>
          <cell r="G12" t="str">
            <v>16CDDT-TT02</v>
          </cell>
          <cell r="H12" t="str">
            <v>16CDDT-TT02</v>
          </cell>
          <cell r="I12">
            <v>0</v>
          </cell>
        </row>
        <row r="13">
          <cell r="F13" t="str">
            <v>16CD.HTTT01</v>
          </cell>
          <cell r="G13" t="str">
            <v>16CDHTTT01</v>
          </cell>
          <cell r="H13" t="str">
            <v>16CDHTTT01</v>
          </cell>
          <cell r="I13">
            <v>12</v>
          </cell>
          <cell r="J13">
            <v>11</v>
          </cell>
          <cell r="K13">
            <v>1</v>
          </cell>
          <cell r="L13">
            <v>0</v>
          </cell>
          <cell r="M13">
            <v>12</v>
          </cell>
          <cell r="N13">
            <v>1</v>
          </cell>
        </row>
        <row r="14">
          <cell r="F14" t="str">
            <v>16CD.HTTT02</v>
          </cell>
          <cell r="G14" t="str">
            <v>16CDHTTT02</v>
          </cell>
          <cell r="H14" t="str">
            <v>16CDHTTT02</v>
          </cell>
          <cell r="I14">
            <v>0</v>
          </cell>
        </row>
        <row r="15">
          <cell r="F15" t="str">
            <v>16CD.KT01</v>
          </cell>
          <cell r="G15" t="str">
            <v>16CDKT01</v>
          </cell>
          <cell r="H15" t="str">
            <v>16CDKT01</v>
          </cell>
          <cell r="I15">
            <v>40</v>
          </cell>
          <cell r="J15">
            <v>8</v>
          </cell>
          <cell r="K15">
            <v>32</v>
          </cell>
          <cell r="L15">
            <v>0</v>
          </cell>
          <cell r="M15">
            <v>40</v>
          </cell>
          <cell r="N15">
            <v>6</v>
          </cell>
        </row>
        <row r="16">
          <cell r="F16" t="str">
            <v>16CD.KT02</v>
          </cell>
          <cell r="G16" t="str">
            <v>16CDKT02</v>
          </cell>
          <cell r="H16" t="str">
            <v>16CDKT02</v>
          </cell>
          <cell r="I16">
            <v>41</v>
          </cell>
          <cell r="J16">
            <v>3</v>
          </cell>
          <cell r="K16">
            <v>38</v>
          </cell>
          <cell r="L16">
            <v>0</v>
          </cell>
          <cell r="M16">
            <v>41</v>
          </cell>
        </row>
        <row r="17">
          <cell r="F17" t="str">
            <v>16CD.KT03</v>
          </cell>
          <cell r="G17" t="str">
            <v>16CDKT03</v>
          </cell>
          <cell r="H17" t="str">
            <v>16CDKT03</v>
          </cell>
          <cell r="I17">
            <v>40</v>
          </cell>
          <cell r="J17">
            <v>8</v>
          </cell>
          <cell r="K17">
            <v>32</v>
          </cell>
          <cell r="L17">
            <v>0</v>
          </cell>
          <cell r="M17">
            <v>40</v>
          </cell>
        </row>
        <row r="18">
          <cell r="F18" t="str">
            <v>16CD.KT04</v>
          </cell>
          <cell r="G18" t="str">
            <v>16CDKT04</v>
          </cell>
          <cell r="H18" t="str">
            <v>16CDKT04</v>
          </cell>
          <cell r="I18">
            <v>40</v>
          </cell>
          <cell r="J18">
            <v>5</v>
          </cell>
          <cell r="K18">
            <v>35</v>
          </cell>
          <cell r="L18">
            <v>0</v>
          </cell>
          <cell r="M18">
            <v>40</v>
          </cell>
        </row>
        <row r="19">
          <cell r="F19" t="str">
            <v>16CD.KT05</v>
          </cell>
          <cell r="G19" t="str">
            <v>16CDKT05</v>
          </cell>
          <cell r="H19" t="str">
            <v>16CDKT05</v>
          </cell>
          <cell r="I19">
            <v>40</v>
          </cell>
          <cell r="J19">
            <v>6</v>
          </cell>
          <cell r="K19">
            <v>34</v>
          </cell>
          <cell r="L19">
            <v>0</v>
          </cell>
          <cell r="M19">
            <v>40</v>
          </cell>
        </row>
        <row r="20">
          <cell r="F20" t="str">
            <v>16CD.KT06</v>
          </cell>
          <cell r="G20" t="str">
            <v>16CDKT06</v>
          </cell>
          <cell r="H20" t="str">
            <v>16CDKT06</v>
          </cell>
          <cell r="I20">
            <v>27</v>
          </cell>
          <cell r="J20">
            <v>3</v>
          </cell>
          <cell r="K20">
            <v>24</v>
          </cell>
          <cell r="L20">
            <v>0</v>
          </cell>
          <cell r="M20">
            <v>27</v>
          </cell>
        </row>
        <row r="21">
          <cell r="F21" t="str">
            <v>16CD.OT01</v>
          </cell>
          <cell r="G21" t="str">
            <v>16CDOT01</v>
          </cell>
          <cell r="H21" t="str">
            <v>16CDOT01</v>
          </cell>
          <cell r="I21">
            <v>43</v>
          </cell>
          <cell r="J21">
            <v>42</v>
          </cell>
          <cell r="K21">
            <v>1</v>
          </cell>
          <cell r="L21">
            <v>0</v>
          </cell>
          <cell r="M21">
            <v>43</v>
          </cell>
          <cell r="N21">
            <v>4</v>
          </cell>
        </row>
        <row r="22">
          <cell r="F22" t="str">
            <v>16CD.OT02</v>
          </cell>
          <cell r="G22" t="str">
            <v>16CDOT02</v>
          </cell>
          <cell r="H22" t="str">
            <v>16CDOT02</v>
          </cell>
          <cell r="I22">
            <v>40</v>
          </cell>
          <cell r="J22">
            <v>40</v>
          </cell>
          <cell r="K22">
            <v>0</v>
          </cell>
          <cell r="L22">
            <v>0</v>
          </cell>
          <cell r="M22">
            <v>40</v>
          </cell>
        </row>
        <row r="23">
          <cell r="F23" t="str">
            <v>16CD.OT03</v>
          </cell>
          <cell r="G23" t="str">
            <v>16CDOT03</v>
          </cell>
          <cell r="H23" t="str">
            <v>16CDOT03</v>
          </cell>
          <cell r="I23">
            <v>40</v>
          </cell>
          <cell r="J23">
            <v>40</v>
          </cell>
          <cell r="K23">
            <v>0</v>
          </cell>
          <cell r="L23">
            <v>0</v>
          </cell>
          <cell r="M23">
            <v>40</v>
          </cell>
        </row>
        <row r="24">
          <cell r="F24" t="str">
            <v>16CD.OT04</v>
          </cell>
          <cell r="G24" t="str">
            <v>16CDOT04</v>
          </cell>
          <cell r="H24" t="str">
            <v>16CDOT04</v>
          </cell>
          <cell r="I24">
            <v>11</v>
          </cell>
          <cell r="J24">
            <v>11</v>
          </cell>
          <cell r="K24">
            <v>0</v>
          </cell>
          <cell r="L24">
            <v>0</v>
          </cell>
          <cell r="M24">
            <v>11</v>
          </cell>
        </row>
        <row r="25">
          <cell r="F25" t="str">
            <v>16CD.QTKD01</v>
          </cell>
          <cell r="G25" t="str">
            <v>16CDQTKD01</v>
          </cell>
          <cell r="H25" t="str">
            <v>16CDQTKD01</v>
          </cell>
          <cell r="I25">
            <v>40</v>
          </cell>
          <cell r="J25">
            <v>15</v>
          </cell>
          <cell r="K25">
            <v>25</v>
          </cell>
          <cell r="L25">
            <v>0</v>
          </cell>
          <cell r="M25">
            <v>40</v>
          </cell>
          <cell r="N25">
            <v>6</v>
          </cell>
        </row>
        <row r="26">
          <cell r="F26" t="str">
            <v>16CD.QTKD02</v>
          </cell>
          <cell r="G26" t="str">
            <v>16CDQTKD02</v>
          </cell>
          <cell r="H26" t="str">
            <v>16CDQTKD02</v>
          </cell>
          <cell r="I26">
            <v>40</v>
          </cell>
          <cell r="J26">
            <v>14</v>
          </cell>
          <cell r="K26">
            <v>26</v>
          </cell>
          <cell r="L26">
            <v>0</v>
          </cell>
          <cell r="M26">
            <v>40</v>
          </cell>
        </row>
        <row r="27">
          <cell r="F27" t="str">
            <v>16CD.QTKD03</v>
          </cell>
          <cell r="G27" t="str">
            <v>16CDQTKD03</v>
          </cell>
          <cell r="H27" t="str">
            <v>16CDQTKD03</v>
          </cell>
          <cell r="I27">
            <v>40</v>
          </cell>
          <cell r="J27">
            <v>11</v>
          </cell>
          <cell r="K27">
            <v>29</v>
          </cell>
          <cell r="L27">
            <v>0</v>
          </cell>
          <cell r="M27">
            <v>40</v>
          </cell>
        </row>
        <row r="28">
          <cell r="F28" t="str">
            <v>16CD.QTKD04</v>
          </cell>
          <cell r="G28" t="str">
            <v>16CDQTKD04</v>
          </cell>
          <cell r="H28" t="str">
            <v>16CDQTKD04</v>
          </cell>
          <cell r="I28">
            <v>40</v>
          </cell>
          <cell r="J28">
            <v>7</v>
          </cell>
          <cell r="K28">
            <v>33</v>
          </cell>
          <cell r="L28">
            <v>0</v>
          </cell>
          <cell r="M28">
            <v>40</v>
          </cell>
        </row>
        <row r="29">
          <cell r="F29" t="str">
            <v>16CD.QTKD05</v>
          </cell>
          <cell r="G29" t="str">
            <v>16CDQTKD05</v>
          </cell>
          <cell r="H29" t="str">
            <v>16CDQTKD05</v>
          </cell>
          <cell r="I29">
            <v>40</v>
          </cell>
          <cell r="J29">
            <v>16</v>
          </cell>
          <cell r="K29">
            <v>24</v>
          </cell>
          <cell r="L29">
            <v>0</v>
          </cell>
          <cell r="M29">
            <v>40</v>
          </cell>
        </row>
        <row r="30">
          <cell r="F30" t="str">
            <v>16CD.QTKD06</v>
          </cell>
          <cell r="G30" t="str">
            <v>16CDQTKD06</v>
          </cell>
          <cell r="H30" t="str">
            <v>16CDQTKD06</v>
          </cell>
          <cell r="I30">
            <v>5</v>
          </cell>
          <cell r="J30">
            <v>1</v>
          </cell>
          <cell r="K30">
            <v>4</v>
          </cell>
          <cell r="L30">
            <v>0</v>
          </cell>
          <cell r="M30">
            <v>5</v>
          </cell>
        </row>
        <row r="31">
          <cell r="F31" t="str">
            <v>16CD.TA01</v>
          </cell>
          <cell r="G31" t="str">
            <v>16CDTA01</v>
          </cell>
          <cell r="H31" t="str">
            <v>16CDTA01</v>
          </cell>
          <cell r="I31">
            <v>40</v>
          </cell>
          <cell r="J31">
            <v>13</v>
          </cell>
          <cell r="K31">
            <v>27</v>
          </cell>
          <cell r="L31">
            <v>0</v>
          </cell>
          <cell r="M31">
            <v>40</v>
          </cell>
          <cell r="N31">
            <v>3</v>
          </cell>
        </row>
        <row r="32">
          <cell r="F32" t="str">
            <v>16CD.TA02</v>
          </cell>
          <cell r="G32" t="str">
            <v>16CDTA02</v>
          </cell>
          <cell r="H32" t="str">
            <v>16CDTA02</v>
          </cell>
          <cell r="I32">
            <v>40</v>
          </cell>
          <cell r="J32">
            <v>7</v>
          </cell>
          <cell r="K32">
            <v>33</v>
          </cell>
          <cell r="L32">
            <v>0</v>
          </cell>
          <cell r="M32">
            <v>40</v>
          </cell>
        </row>
        <row r="33">
          <cell r="F33" t="str">
            <v>16CD.TA03</v>
          </cell>
          <cell r="G33" t="str">
            <v>16CDTA03</v>
          </cell>
          <cell r="H33" t="str">
            <v>16CDTA03</v>
          </cell>
          <cell r="I33">
            <v>37</v>
          </cell>
          <cell r="J33">
            <v>5</v>
          </cell>
          <cell r="K33">
            <v>32</v>
          </cell>
          <cell r="L33">
            <v>0</v>
          </cell>
          <cell r="M33">
            <v>37</v>
          </cell>
        </row>
        <row r="34">
          <cell r="F34" t="str">
            <v>16CD.TA04</v>
          </cell>
          <cell r="G34" t="str">
            <v>16CDTA04</v>
          </cell>
          <cell r="H34" t="str">
            <v>16CDTA04</v>
          </cell>
          <cell r="I34">
            <v>0</v>
          </cell>
        </row>
        <row r="35">
          <cell r="F35" t="str">
            <v>16CD.TCNH01</v>
          </cell>
          <cell r="G35" t="str">
            <v>16CDTCNHD01</v>
          </cell>
          <cell r="H35" t="str">
            <v>16CDTCNHD01</v>
          </cell>
          <cell r="I35">
            <v>38</v>
          </cell>
          <cell r="J35">
            <v>14</v>
          </cell>
          <cell r="K35">
            <v>24</v>
          </cell>
          <cell r="L35">
            <v>0</v>
          </cell>
          <cell r="M35">
            <v>38</v>
          </cell>
          <cell r="N35">
            <v>1</v>
          </cell>
        </row>
        <row r="36">
          <cell r="F36" t="str">
            <v>16CD.TCNH02</v>
          </cell>
          <cell r="G36" t="str">
            <v>16CDTCNHD02</v>
          </cell>
          <cell r="H36" t="str">
            <v>16CDTCNHD02</v>
          </cell>
          <cell r="I36">
            <v>0</v>
          </cell>
        </row>
        <row r="37">
          <cell r="F37" t="str">
            <v>16CD.TH01</v>
          </cell>
          <cell r="G37" t="str">
            <v>16CDTH01</v>
          </cell>
          <cell r="H37" t="str">
            <v>16CDTH01</v>
          </cell>
          <cell r="I37">
            <v>40</v>
          </cell>
          <cell r="J37">
            <v>39</v>
          </cell>
          <cell r="K37">
            <v>1</v>
          </cell>
          <cell r="L37">
            <v>0</v>
          </cell>
          <cell r="M37">
            <v>40</v>
          </cell>
          <cell r="N37">
            <v>3</v>
          </cell>
        </row>
        <row r="38">
          <cell r="F38" t="str">
            <v>16CD.TH02</v>
          </cell>
          <cell r="G38" t="str">
            <v>16CDTH02</v>
          </cell>
          <cell r="H38" t="str">
            <v>16CDTH02</v>
          </cell>
          <cell r="I38">
            <v>40</v>
          </cell>
          <cell r="J38">
            <v>34</v>
          </cell>
          <cell r="K38">
            <v>6</v>
          </cell>
          <cell r="L38">
            <v>0</v>
          </cell>
          <cell r="M38">
            <v>40</v>
          </cell>
        </row>
        <row r="39">
          <cell r="F39" t="str">
            <v>16CD.TH03</v>
          </cell>
          <cell r="G39" t="str">
            <v>16CDTH03</v>
          </cell>
          <cell r="H39" t="str">
            <v>16CDTH03</v>
          </cell>
          <cell r="I39">
            <v>40</v>
          </cell>
          <cell r="J39">
            <v>35</v>
          </cell>
          <cell r="K39">
            <v>5</v>
          </cell>
          <cell r="L39">
            <v>0</v>
          </cell>
          <cell r="M39">
            <v>40</v>
          </cell>
        </row>
        <row r="40">
          <cell r="F40" t="str">
            <v>16CD.TH04</v>
          </cell>
          <cell r="G40" t="str">
            <v>16CDTH04</v>
          </cell>
          <cell r="H40" t="str">
            <v>16CDTH04</v>
          </cell>
          <cell r="I40">
            <v>0</v>
          </cell>
        </row>
        <row r="41">
          <cell r="F41" t="str">
            <v>16CD.TA01_N1</v>
          </cell>
          <cell r="G41" t="str">
            <v>16CDTA01_N1</v>
          </cell>
          <cell r="H41" t="str">
            <v>16CDTA01</v>
          </cell>
          <cell r="I41">
            <v>20</v>
          </cell>
          <cell r="J41">
            <v>13</v>
          </cell>
          <cell r="K41">
            <v>27</v>
          </cell>
          <cell r="L41">
            <v>0</v>
          </cell>
          <cell r="M41">
            <v>40</v>
          </cell>
          <cell r="N41">
            <v>3</v>
          </cell>
        </row>
        <row r="42">
          <cell r="F42" t="str">
            <v>16CD.TA02_N1</v>
          </cell>
          <cell r="G42" t="str">
            <v>16CDTA02_N1</v>
          </cell>
          <cell r="H42" t="str">
            <v>16CDTA02</v>
          </cell>
          <cell r="I42">
            <v>20</v>
          </cell>
          <cell r="J42">
            <v>7</v>
          </cell>
          <cell r="K42">
            <v>33</v>
          </cell>
          <cell r="L42">
            <v>0</v>
          </cell>
          <cell r="M42">
            <v>40</v>
          </cell>
        </row>
        <row r="43">
          <cell r="F43" t="str">
            <v>16CD.TA03_N1</v>
          </cell>
          <cell r="G43" t="str">
            <v>16CDTA03_N1</v>
          </cell>
          <cell r="H43" t="str">
            <v>16CDTA03</v>
          </cell>
          <cell r="I43">
            <v>19</v>
          </cell>
          <cell r="J43">
            <v>5</v>
          </cell>
          <cell r="K43">
            <v>32</v>
          </cell>
          <cell r="L43">
            <v>0</v>
          </cell>
          <cell r="M43">
            <v>37</v>
          </cell>
        </row>
        <row r="44">
          <cell r="F44" t="str">
            <v>16CD.TA01_N2</v>
          </cell>
          <cell r="G44" t="str">
            <v>16CDTA01_N2</v>
          </cell>
          <cell r="H44" t="str">
            <v>16CDTA01</v>
          </cell>
          <cell r="I44">
            <v>20</v>
          </cell>
          <cell r="J44">
            <v>13</v>
          </cell>
          <cell r="K44">
            <v>27</v>
          </cell>
          <cell r="L44">
            <v>0</v>
          </cell>
          <cell r="M44">
            <v>40</v>
          </cell>
          <cell r="N44">
            <v>3</v>
          </cell>
        </row>
        <row r="45">
          <cell r="F45" t="str">
            <v>16CD.TA02_N2</v>
          </cell>
          <cell r="G45" t="str">
            <v>16CDTA02_N2</v>
          </cell>
          <cell r="H45" t="str">
            <v>16CDTA02</v>
          </cell>
          <cell r="I45">
            <v>20</v>
          </cell>
          <cell r="J45">
            <v>7</v>
          </cell>
          <cell r="K45">
            <v>33</v>
          </cell>
          <cell r="L45">
            <v>0</v>
          </cell>
          <cell r="M45">
            <v>40</v>
          </cell>
        </row>
        <row r="46">
          <cell r="F46" t="str">
            <v>16CD.TA03_N2</v>
          </cell>
          <cell r="G46" t="str">
            <v>16CDTA03_N2</v>
          </cell>
          <cell r="H46" t="str">
            <v>16CDTA03</v>
          </cell>
          <cell r="I46">
            <v>18</v>
          </cell>
          <cell r="J46">
            <v>5</v>
          </cell>
          <cell r="K46">
            <v>32</v>
          </cell>
          <cell r="L46">
            <v>0</v>
          </cell>
          <cell r="M46">
            <v>37</v>
          </cell>
        </row>
        <row r="53">
          <cell r="F53">
            <v>1</v>
          </cell>
          <cell r="G53">
            <v>2</v>
          </cell>
          <cell r="H53">
            <v>3</v>
          </cell>
          <cell r="I53">
            <v>4</v>
          </cell>
        </row>
        <row r="54">
          <cell r="I54">
            <v>1058</v>
          </cell>
          <cell r="N54">
            <v>30.228571428571428</v>
          </cell>
        </row>
        <row r="55">
          <cell r="I55">
            <v>117</v>
          </cell>
        </row>
        <row r="56">
          <cell r="I56">
            <v>941</v>
          </cell>
          <cell r="N56">
            <v>26.885714285714286</v>
          </cell>
        </row>
      </sheetData>
      <sheetData sheetId="3"/>
      <sheetData sheetId="4"/>
      <sheetData sheetId="5">
        <row r="2">
          <cell r="C2" t="str">
            <v>3102001</v>
          </cell>
          <cell r="D2">
            <v>30</v>
          </cell>
          <cell r="E2">
            <v>2</v>
          </cell>
          <cell r="F2">
            <v>40</v>
          </cell>
          <cell r="G2" t="str">
            <v>LT</v>
          </cell>
          <cell r="H2" t="str">
            <v>Lý Thuyết</v>
          </cell>
          <cell r="I2">
            <v>60</v>
          </cell>
        </row>
        <row r="3">
          <cell r="C3" t="str">
            <v>3103002</v>
          </cell>
          <cell r="D3">
            <v>15</v>
          </cell>
          <cell r="E3">
            <v>3</v>
          </cell>
          <cell r="F3">
            <v>80</v>
          </cell>
          <cell r="G3" t="str">
            <v>GD</v>
          </cell>
          <cell r="H3" t="str">
            <v>Giảng đường</v>
          </cell>
          <cell r="I3">
            <v>45</v>
          </cell>
        </row>
        <row r="4">
          <cell r="C4" t="str">
            <v>3107061</v>
          </cell>
          <cell r="D4">
            <v>75</v>
          </cell>
          <cell r="E4">
            <v>6</v>
          </cell>
          <cell r="F4">
            <v>30</v>
          </cell>
          <cell r="G4" t="str">
            <v>LT_NN</v>
          </cell>
          <cell r="H4" t="str">
            <v>LTCM_NN</v>
          </cell>
          <cell r="I4">
            <v>450</v>
          </cell>
        </row>
        <row r="5">
          <cell r="C5" t="str">
            <v>3109015</v>
          </cell>
          <cell r="D5" t="e">
            <v>#N/A</v>
          </cell>
          <cell r="E5">
            <v>31</v>
          </cell>
          <cell r="F5">
            <v>35</v>
          </cell>
          <cell r="G5" t="str">
            <v>Sân</v>
          </cell>
          <cell r="H5" t="str">
            <v>Sân</v>
          </cell>
          <cell r="I5" t="e">
            <v>#N/A</v>
          </cell>
        </row>
        <row r="6">
          <cell r="C6" t="str">
            <v>3105002</v>
          </cell>
          <cell r="D6">
            <v>45</v>
          </cell>
          <cell r="E6">
            <v>4</v>
          </cell>
          <cell r="F6">
            <v>80</v>
          </cell>
          <cell r="G6" t="str">
            <v>GD</v>
          </cell>
          <cell r="H6" t="str">
            <v>Giảng đường</v>
          </cell>
          <cell r="I6">
            <v>180</v>
          </cell>
        </row>
        <row r="7">
          <cell r="C7" t="str">
            <v>3107023</v>
          </cell>
          <cell r="D7">
            <v>45</v>
          </cell>
          <cell r="E7">
            <v>2</v>
          </cell>
          <cell r="F7">
            <v>80</v>
          </cell>
          <cell r="G7" t="str">
            <v>GD</v>
          </cell>
          <cell r="H7" t="str">
            <v>Giảng đường</v>
          </cell>
          <cell r="I7">
            <v>90</v>
          </cell>
        </row>
        <row r="8">
          <cell r="C8" t="str">
            <v>3104062</v>
          </cell>
          <cell r="D8">
            <v>45</v>
          </cell>
          <cell r="E8">
            <v>6</v>
          </cell>
          <cell r="F8">
            <v>80</v>
          </cell>
          <cell r="G8" t="str">
            <v>GD</v>
          </cell>
          <cell r="H8" t="str">
            <v>Giảng đường</v>
          </cell>
          <cell r="I8">
            <v>270</v>
          </cell>
        </row>
        <row r="9">
          <cell r="C9" t="str">
            <v>3102083</v>
          </cell>
          <cell r="D9">
            <v>75</v>
          </cell>
          <cell r="E9">
            <v>1</v>
          </cell>
          <cell r="F9">
            <v>60</v>
          </cell>
          <cell r="G9" t="str">
            <v>GD</v>
          </cell>
          <cell r="H9" t="str">
            <v>Giảng đường</v>
          </cell>
          <cell r="I9">
            <v>75</v>
          </cell>
        </row>
        <row r="10">
          <cell r="C10" t="str">
            <v>3101061</v>
          </cell>
          <cell r="D10">
            <v>90</v>
          </cell>
          <cell r="E10">
            <v>4</v>
          </cell>
          <cell r="F10">
            <v>40</v>
          </cell>
          <cell r="G10" t="str">
            <v>TH_PMT</v>
          </cell>
          <cell r="H10" t="str">
            <v>Xưởng (Phòng MT)</v>
          </cell>
          <cell r="I10">
            <v>360</v>
          </cell>
        </row>
        <row r="11">
          <cell r="C11" t="str">
            <v>3102037</v>
          </cell>
          <cell r="D11">
            <v>60</v>
          </cell>
          <cell r="E11">
            <v>1</v>
          </cell>
          <cell r="F11">
            <v>30</v>
          </cell>
          <cell r="G11" t="str">
            <v>LT</v>
          </cell>
          <cell r="H11" t="str">
            <v>Lý Thuyết</v>
          </cell>
          <cell r="I11">
            <v>60</v>
          </cell>
        </row>
        <row r="12">
          <cell r="C12" t="str">
            <v>3102079</v>
          </cell>
          <cell r="D12">
            <v>60</v>
          </cell>
          <cell r="E12">
            <v>1</v>
          </cell>
          <cell r="F12">
            <v>60</v>
          </cell>
          <cell r="G12" t="str">
            <v>GD</v>
          </cell>
          <cell r="H12" t="str">
            <v>Giảng đường</v>
          </cell>
          <cell r="I12">
            <v>60</v>
          </cell>
        </row>
        <row r="13">
          <cell r="C13" t="str">
            <v>3103107</v>
          </cell>
          <cell r="D13">
            <v>60</v>
          </cell>
          <cell r="E13">
            <v>1</v>
          </cell>
          <cell r="F13">
            <v>25</v>
          </cell>
          <cell r="G13" t="str">
            <v>LT</v>
          </cell>
          <cell r="H13" t="str">
            <v>Lý Thuyết</v>
          </cell>
          <cell r="I13">
            <v>60</v>
          </cell>
        </row>
        <row r="14">
          <cell r="C14" t="str">
            <v>3104024</v>
          </cell>
          <cell r="D14">
            <v>45</v>
          </cell>
          <cell r="E14">
            <v>4</v>
          </cell>
          <cell r="F14">
            <v>80</v>
          </cell>
          <cell r="G14" t="str">
            <v>GD</v>
          </cell>
          <cell r="H14" t="str">
            <v>Giảng đường</v>
          </cell>
          <cell r="I14">
            <v>180</v>
          </cell>
        </row>
        <row r="15">
          <cell r="C15" t="str">
            <v>3107065</v>
          </cell>
          <cell r="D15">
            <v>60</v>
          </cell>
          <cell r="E15">
            <v>6</v>
          </cell>
          <cell r="F15">
            <v>30</v>
          </cell>
          <cell r="G15" t="str">
            <v>LT_NN</v>
          </cell>
          <cell r="H15" t="str">
            <v>LTCM_NN</v>
          </cell>
          <cell r="I15">
            <v>360</v>
          </cell>
        </row>
        <row r="16">
          <cell r="C16" t="str">
            <v>3104029</v>
          </cell>
          <cell r="D16">
            <v>60</v>
          </cell>
          <cell r="E16">
            <v>4</v>
          </cell>
          <cell r="F16">
            <v>80</v>
          </cell>
          <cell r="G16" t="str">
            <v>GD</v>
          </cell>
          <cell r="H16" t="str">
            <v>Giảng đường</v>
          </cell>
          <cell r="I16">
            <v>240</v>
          </cell>
        </row>
        <row r="17">
          <cell r="C17" t="str">
            <v>3103091</v>
          </cell>
          <cell r="D17">
            <v>30</v>
          </cell>
          <cell r="E17">
            <v>2</v>
          </cell>
          <cell r="F17">
            <v>80</v>
          </cell>
          <cell r="G17" t="str">
            <v>GD</v>
          </cell>
          <cell r="H17" t="str">
            <v>Giảng đường</v>
          </cell>
          <cell r="I17">
            <v>60</v>
          </cell>
        </row>
        <row r="18">
          <cell r="C18" t="str">
            <v>3101054</v>
          </cell>
          <cell r="D18">
            <v>45</v>
          </cell>
          <cell r="E18">
            <v>23</v>
          </cell>
          <cell r="F18">
            <v>40</v>
          </cell>
          <cell r="G18" t="str">
            <v>TH_PMT</v>
          </cell>
          <cell r="H18" t="str">
            <v>Xưởng (Phòng MT)</v>
          </cell>
          <cell r="I18">
            <v>1035</v>
          </cell>
        </row>
        <row r="19">
          <cell r="C19" t="str">
            <v>3108014</v>
          </cell>
          <cell r="D19">
            <v>30</v>
          </cell>
          <cell r="E19">
            <v>15</v>
          </cell>
          <cell r="F19">
            <v>80</v>
          </cell>
          <cell r="G19" t="str">
            <v>GD</v>
          </cell>
          <cell r="H19" t="str">
            <v>Giảng đường</v>
          </cell>
          <cell r="I19">
            <v>450</v>
          </cell>
        </row>
        <row r="20">
          <cell r="C20" t="str">
            <v>3108006</v>
          </cell>
          <cell r="D20">
            <v>30</v>
          </cell>
          <cell r="E20">
            <v>5</v>
          </cell>
          <cell r="F20">
            <v>80</v>
          </cell>
          <cell r="G20" t="str">
            <v>GD</v>
          </cell>
          <cell r="H20" t="str">
            <v>Giảng đường</v>
          </cell>
          <cell r="I20">
            <v>150</v>
          </cell>
        </row>
        <row r="21">
          <cell r="C21" t="str">
            <v>3104032</v>
          </cell>
          <cell r="D21">
            <v>45</v>
          </cell>
          <cell r="E21">
            <v>3</v>
          </cell>
          <cell r="F21">
            <v>80</v>
          </cell>
          <cell r="G21" t="str">
            <v>GD</v>
          </cell>
          <cell r="H21" t="str">
            <v>Giảng đường</v>
          </cell>
          <cell r="I21">
            <v>135</v>
          </cell>
        </row>
        <row r="22">
          <cell r="C22" t="str">
            <v>3104077</v>
          </cell>
          <cell r="D22">
            <v>45</v>
          </cell>
          <cell r="E22">
            <v>3</v>
          </cell>
          <cell r="F22">
            <v>80</v>
          </cell>
          <cell r="G22" t="str">
            <v>GD</v>
          </cell>
          <cell r="H22" t="str">
            <v>Giảng đường</v>
          </cell>
          <cell r="I22">
            <v>135</v>
          </cell>
        </row>
        <row r="23">
          <cell r="C23" t="str">
            <v>3107010</v>
          </cell>
          <cell r="D23" t="e">
            <v>#N/A</v>
          </cell>
          <cell r="E23">
            <v>31</v>
          </cell>
          <cell r="F23">
            <v>30</v>
          </cell>
          <cell r="G23" t="str">
            <v>LT</v>
          </cell>
          <cell r="H23" t="str">
            <v>Lý Thuyết</v>
          </cell>
          <cell r="I23" t="e">
            <v>#N/A</v>
          </cell>
        </row>
        <row r="24">
          <cell r="C24" t="str">
            <v>3105013</v>
          </cell>
          <cell r="D24">
            <v>60</v>
          </cell>
          <cell r="E24">
            <v>14</v>
          </cell>
          <cell r="F24">
            <v>80</v>
          </cell>
          <cell r="G24" t="str">
            <v>GD</v>
          </cell>
          <cell r="H24" t="str">
            <v>Giảng đường</v>
          </cell>
          <cell r="I24">
            <v>840</v>
          </cell>
        </row>
        <row r="25">
          <cell r="C25" t="str">
            <v>3103056</v>
          </cell>
          <cell r="D25">
            <v>30</v>
          </cell>
          <cell r="E25">
            <v>2</v>
          </cell>
          <cell r="F25">
            <v>80</v>
          </cell>
          <cell r="G25" t="str">
            <v>GD</v>
          </cell>
          <cell r="H25" t="str">
            <v>Giảng đường</v>
          </cell>
          <cell r="I25">
            <v>60</v>
          </cell>
        </row>
        <row r="26">
          <cell r="C26" t="str">
            <v>3105020</v>
          </cell>
          <cell r="D26">
            <v>60</v>
          </cell>
          <cell r="E26">
            <v>7</v>
          </cell>
          <cell r="F26">
            <v>80</v>
          </cell>
          <cell r="G26" t="str">
            <v>GD</v>
          </cell>
          <cell r="H26" t="str">
            <v>Giảng đường</v>
          </cell>
          <cell r="I26">
            <v>420</v>
          </cell>
        </row>
        <row r="27">
          <cell r="C27" t="str">
            <v>3103065</v>
          </cell>
          <cell r="D27">
            <v>45</v>
          </cell>
          <cell r="E27">
            <v>1</v>
          </cell>
          <cell r="F27">
            <v>40</v>
          </cell>
          <cell r="G27" t="str">
            <v>TH_PMT</v>
          </cell>
          <cell r="H27" t="str">
            <v>Xưởng (Phòng MT)</v>
          </cell>
          <cell r="I27">
            <v>45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A8C3-FCED-4472-95F8-21DEDB0C95C7}">
  <sheetPr>
    <tabColor rgb="FFFFFF00"/>
    <pageSetUpPr fitToPage="1"/>
  </sheetPr>
  <dimension ref="A1:AF106"/>
  <sheetViews>
    <sheetView tabSelected="1" zoomScale="115" zoomScaleNormal="115" zoomScaleSheetLayoutView="100" workbookViewId="0">
      <pane ySplit="8" topLeftCell="A9" activePane="bottomLeft" state="frozen"/>
      <selection pane="bottomLeft" activeCell="AC13" sqref="AC13"/>
    </sheetView>
  </sheetViews>
  <sheetFormatPr defaultRowHeight="12.75" x14ac:dyDescent="0.2"/>
  <cols>
    <col min="1" max="1" width="4.85546875" style="2" customWidth="1"/>
    <col min="2" max="2" width="4.140625" style="2" customWidth="1"/>
    <col min="3" max="3" width="16.7109375" style="2" customWidth="1"/>
    <col min="4" max="4" width="16.140625" style="4" customWidth="1"/>
    <col min="5" max="5" width="21.7109375" style="3" customWidth="1"/>
    <col min="6" max="6" width="12.7109375" style="4" customWidth="1"/>
    <col min="7" max="7" width="11.28515625" style="21" hidden="1" customWidth="1"/>
    <col min="8" max="8" width="9.85546875" style="4" hidden="1" customWidth="1"/>
    <col min="9" max="9" width="9.85546875" style="4" customWidth="1"/>
    <col min="10" max="10" width="7.7109375" style="2" hidden="1" customWidth="1"/>
    <col min="11" max="12" width="4.28515625" style="2" hidden="1" customWidth="1"/>
    <col min="13" max="13" width="5.85546875" style="2" hidden="1" customWidth="1"/>
    <col min="14" max="14" width="5.140625" style="2" hidden="1" customWidth="1"/>
    <col min="15" max="15" width="5.28515625" style="2" hidden="1" customWidth="1"/>
    <col min="16" max="16" width="5.85546875" style="2" hidden="1" customWidth="1"/>
    <col min="17" max="17" width="31.140625" style="17" hidden="1" customWidth="1"/>
    <col min="18" max="18" width="5.5703125" style="17" customWidth="1"/>
    <col min="19" max="19" width="12.28515625" style="4" customWidth="1"/>
    <col min="20" max="20" width="5.42578125" style="2" customWidth="1"/>
    <col min="21" max="21" width="4.5703125" style="2" hidden="1" customWidth="1"/>
    <col min="22" max="22" width="4.140625" style="2" hidden="1" customWidth="1"/>
    <col min="23" max="23" width="4.5703125" style="2" hidden="1" customWidth="1"/>
    <col min="24" max="24" width="3.5703125" style="4" hidden="1" customWidth="1"/>
    <col min="25" max="26" width="3.5703125" style="2" hidden="1" customWidth="1"/>
    <col min="27" max="27" width="5.85546875" style="2" hidden="1" customWidth="1"/>
    <col min="28" max="28" width="18.85546875" style="4" hidden="1" customWidth="1"/>
    <col min="29" max="29" width="19.5703125" style="2" customWidth="1"/>
    <col min="30" max="30" width="13.42578125" style="15" customWidth="1"/>
    <col min="31" max="31" width="41.85546875" style="173" bestFit="1" customWidth="1"/>
    <col min="32" max="32" width="27.140625" style="173" bestFit="1" customWidth="1"/>
    <col min="33" max="16384" width="9.140625" style="15"/>
  </cols>
  <sheetData>
    <row r="1" spans="1:32" s="5" customFormat="1" ht="16.5" customHeight="1" x14ac:dyDescent="0.25">
      <c r="A1" s="223" t="s">
        <v>62</v>
      </c>
      <c r="B1" s="223"/>
      <c r="C1" s="223"/>
      <c r="D1" s="223"/>
      <c r="E1" s="223"/>
      <c r="F1" s="223"/>
      <c r="G1" s="7"/>
      <c r="H1" s="7"/>
      <c r="I1" s="7"/>
      <c r="J1" s="131"/>
      <c r="K1" s="80"/>
      <c r="L1" s="222" t="s">
        <v>42</v>
      </c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E1" s="160"/>
      <c r="AF1" s="160"/>
    </row>
    <row r="2" spans="1:32" s="5" customFormat="1" ht="16.5" customHeight="1" x14ac:dyDescent="0.25">
      <c r="A2" s="222" t="s">
        <v>40</v>
      </c>
      <c r="B2" s="222"/>
      <c r="C2" s="222"/>
      <c r="D2" s="222"/>
      <c r="E2" s="222"/>
      <c r="F2" s="222"/>
      <c r="G2" s="6"/>
      <c r="H2" s="6"/>
      <c r="I2" s="6"/>
      <c r="J2" s="131"/>
      <c r="K2" s="80"/>
      <c r="L2" s="222" t="s">
        <v>47</v>
      </c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E2" s="160"/>
      <c r="AF2" s="160"/>
    </row>
    <row r="3" spans="1:32" s="5" customFormat="1" ht="16.5" customHeight="1" x14ac:dyDescent="0.25">
      <c r="A3" s="222" t="s">
        <v>41</v>
      </c>
      <c r="B3" s="222"/>
      <c r="C3" s="222"/>
      <c r="D3" s="222"/>
      <c r="E3" s="222"/>
      <c r="F3" s="222"/>
      <c r="G3" s="6"/>
      <c r="H3" s="6"/>
      <c r="I3" s="6"/>
      <c r="J3" s="131"/>
      <c r="K3" s="33"/>
      <c r="L3" s="33"/>
      <c r="M3" s="7"/>
      <c r="N3" s="7"/>
      <c r="O3" s="7"/>
      <c r="P3" s="33"/>
      <c r="Q3" s="16"/>
      <c r="R3" s="16"/>
      <c r="S3" s="33"/>
      <c r="T3" s="7"/>
      <c r="U3" s="7"/>
      <c r="V3" s="7"/>
      <c r="W3" s="7"/>
      <c r="X3" s="9"/>
      <c r="Y3" s="7"/>
      <c r="Z3" s="33"/>
      <c r="AA3" s="33"/>
      <c r="AB3" s="9"/>
      <c r="AC3" s="33"/>
      <c r="AE3" s="160"/>
      <c r="AF3" s="160"/>
    </row>
    <row r="4" spans="1:32" s="5" customFormat="1" ht="16.5" customHeight="1" x14ac:dyDescent="0.25">
      <c r="A4" s="223" t="s">
        <v>46</v>
      </c>
      <c r="B4" s="223"/>
      <c r="C4" s="223"/>
      <c r="D4" s="223"/>
      <c r="E4" s="223"/>
      <c r="F4" s="223"/>
      <c r="G4" s="7"/>
      <c r="H4" s="7"/>
      <c r="I4" s="7"/>
      <c r="J4" s="131"/>
      <c r="K4" s="81"/>
      <c r="L4" s="224" t="s">
        <v>43</v>
      </c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E4" s="160"/>
      <c r="AF4" s="160"/>
    </row>
    <row r="5" spans="1:32" ht="12.75" customHeight="1" x14ac:dyDescent="0.3">
      <c r="A5" s="80"/>
      <c r="B5" s="6"/>
      <c r="C5" s="6"/>
      <c r="D5" s="92"/>
      <c r="E5" s="31"/>
      <c r="J5" s="28"/>
    </row>
    <row r="6" spans="1:32" ht="15.75" x14ac:dyDescent="0.25">
      <c r="A6" s="222" t="s">
        <v>296</v>
      </c>
      <c r="B6" s="222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</row>
    <row r="7" spans="1:32" ht="12.75" customHeight="1" x14ac:dyDescent="0.3">
      <c r="L7" s="10"/>
      <c r="M7" s="74"/>
      <c r="N7" s="10"/>
      <c r="O7" s="10"/>
      <c r="S7" s="28"/>
      <c r="T7" s="15"/>
      <c r="W7" s="15"/>
      <c r="X7" s="18"/>
      <c r="Y7" s="19"/>
      <c r="Z7" s="19"/>
      <c r="AA7" s="19"/>
      <c r="AB7" s="42"/>
      <c r="AC7" s="29"/>
    </row>
    <row r="8" spans="1:32" s="12" customFormat="1" ht="42.75" customHeight="1" x14ac:dyDescent="0.25">
      <c r="A8" s="75" t="s">
        <v>61</v>
      </c>
      <c r="B8" s="75" t="s">
        <v>3</v>
      </c>
      <c r="C8" s="75" t="s">
        <v>64</v>
      </c>
      <c r="D8" s="76" t="s">
        <v>56</v>
      </c>
      <c r="E8" s="76" t="s">
        <v>297</v>
      </c>
      <c r="F8" s="77" t="s">
        <v>298</v>
      </c>
      <c r="G8" s="78" t="s">
        <v>39</v>
      </c>
      <c r="H8" s="76" t="s">
        <v>35</v>
      </c>
      <c r="I8" s="76"/>
      <c r="J8" s="75"/>
      <c r="K8" s="75" t="s">
        <v>37</v>
      </c>
      <c r="L8" s="75" t="s">
        <v>38</v>
      </c>
      <c r="M8" s="67" t="s">
        <v>71</v>
      </c>
      <c r="N8" s="67" t="s">
        <v>72</v>
      </c>
      <c r="O8" s="67" t="s">
        <v>73</v>
      </c>
      <c r="P8" s="75" t="s">
        <v>32</v>
      </c>
      <c r="Q8" s="75" t="s">
        <v>55</v>
      </c>
      <c r="R8" s="75" t="s">
        <v>68</v>
      </c>
      <c r="S8" s="76" t="s">
        <v>4</v>
      </c>
      <c r="T8" s="75" t="s">
        <v>70</v>
      </c>
      <c r="U8" s="71" t="s">
        <v>49</v>
      </c>
      <c r="V8" s="71" t="s">
        <v>50</v>
      </c>
      <c r="W8" s="71" t="s">
        <v>51</v>
      </c>
      <c r="X8" s="72"/>
      <c r="Y8" s="73" t="s">
        <v>52</v>
      </c>
      <c r="Z8" s="73"/>
      <c r="AA8" s="79" t="s">
        <v>53</v>
      </c>
      <c r="AB8" s="70" t="s">
        <v>44</v>
      </c>
      <c r="AC8" s="76" t="s">
        <v>5</v>
      </c>
      <c r="AE8" s="214" t="s">
        <v>433</v>
      </c>
      <c r="AF8" s="181" t="s">
        <v>434</v>
      </c>
    </row>
    <row r="9" spans="1:32" s="142" customFormat="1" ht="12" x14ac:dyDescent="0.25">
      <c r="A9" s="125">
        <f>SUBTOTAL(3,B9:$B$9)</f>
        <v>1</v>
      </c>
      <c r="B9" s="125" t="s">
        <v>6</v>
      </c>
      <c r="C9" s="139" t="s">
        <v>129</v>
      </c>
      <c r="D9" s="140" t="s">
        <v>149</v>
      </c>
      <c r="E9" s="133" t="s">
        <v>149</v>
      </c>
      <c r="F9" s="20" t="s">
        <v>155</v>
      </c>
      <c r="G9" s="125"/>
      <c r="H9" s="136" t="s">
        <v>129</v>
      </c>
      <c r="I9" s="136" t="str">
        <f>LEFT(J9,5)&amp;RIGHT(J10,1)</f>
        <v>4(3,1)</v>
      </c>
      <c r="J9" s="125" t="s">
        <v>112</v>
      </c>
      <c r="K9" s="125">
        <v>75</v>
      </c>
      <c r="L9" s="125">
        <v>0</v>
      </c>
      <c r="M9" s="134" t="s">
        <v>74</v>
      </c>
      <c r="N9" s="134"/>
      <c r="O9" s="135"/>
      <c r="P9" s="125" t="s">
        <v>33</v>
      </c>
      <c r="Q9" s="141"/>
      <c r="R9" s="139">
        <v>18</v>
      </c>
      <c r="S9" s="136" t="s">
        <v>159</v>
      </c>
      <c r="T9" s="125"/>
      <c r="U9" s="137"/>
      <c r="V9" s="137"/>
      <c r="W9" s="137"/>
      <c r="X9" s="138"/>
      <c r="Y9" s="137"/>
      <c r="Z9" s="137"/>
      <c r="AA9" s="125">
        <f t="shared" ref="AA9:AA72" si="0">K9+L9</f>
        <v>75</v>
      </c>
      <c r="AB9" s="138"/>
      <c r="AC9" s="125" t="s">
        <v>295</v>
      </c>
      <c r="AD9" s="125" t="s">
        <v>171</v>
      </c>
      <c r="AE9" s="187" t="s">
        <v>449</v>
      </c>
      <c r="AF9" s="187"/>
    </row>
    <row r="10" spans="1:32" s="142" customFormat="1" ht="12" x14ac:dyDescent="0.25">
      <c r="A10" s="125">
        <f>SUBTOTAL(3,B$9:$B10)</f>
        <v>2</v>
      </c>
      <c r="B10" s="125" t="s">
        <v>6</v>
      </c>
      <c r="C10" s="139" t="s">
        <v>129</v>
      </c>
      <c r="D10" s="140" t="s">
        <v>149</v>
      </c>
      <c r="E10" s="133" t="s">
        <v>124</v>
      </c>
      <c r="F10" s="20" t="s">
        <v>125</v>
      </c>
      <c r="G10" s="125"/>
      <c r="H10" s="136" t="s">
        <v>129</v>
      </c>
      <c r="I10" s="136" t="str">
        <f t="shared" ref="I10:I74" si="1">LEFT(J10,5)&amp;RIGHT(J11,1)</f>
        <v>3(1,2)</v>
      </c>
      <c r="J10" s="125" t="s">
        <v>113</v>
      </c>
      <c r="K10" s="125">
        <v>75</v>
      </c>
      <c r="L10" s="125">
        <v>0</v>
      </c>
      <c r="M10" s="134" t="s">
        <v>74</v>
      </c>
      <c r="N10" s="134"/>
      <c r="O10" s="135"/>
      <c r="P10" s="125" t="s">
        <v>33</v>
      </c>
      <c r="Q10" s="141"/>
      <c r="R10" s="139">
        <v>18</v>
      </c>
      <c r="S10" s="136" t="s">
        <v>159</v>
      </c>
      <c r="T10" s="125"/>
      <c r="U10" s="137"/>
      <c r="V10" s="137"/>
      <c r="W10" s="137"/>
      <c r="X10" s="138"/>
      <c r="Y10" s="137"/>
      <c r="Z10" s="137"/>
      <c r="AA10" s="125">
        <f t="shared" si="0"/>
        <v>75</v>
      </c>
      <c r="AB10" s="138"/>
      <c r="AC10" s="125" t="s">
        <v>295</v>
      </c>
      <c r="AE10" s="187" t="s">
        <v>448</v>
      </c>
      <c r="AF10" s="187"/>
    </row>
    <row r="11" spans="1:32" s="142" customFormat="1" ht="12" x14ac:dyDescent="0.25">
      <c r="A11" s="125">
        <f>SUBTOTAL(3,B$9:$B11)</f>
        <v>3</v>
      </c>
      <c r="B11" s="125" t="s">
        <v>6</v>
      </c>
      <c r="C11" s="139" t="s">
        <v>129</v>
      </c>
      <c r="D11" s="140" t="s">
        <v>149</v>
      </c>
      <c r="E11" s="133" t="s">
        <v>108</v>
      </c>
      <c r="F11" s="20" t="s">
        <v>156</v>
      </c>
      <c r="G11" s="125"/>
      <c r="H11" s="136" t="s">
        <v>36</v>
      </c>
      <c r="I11" s="136" t="str">
        <f t="shared" si="1"/>
        <v>2(0,2)</v>
      </c>
      <c r="J11" s="125" t="s">
        <v>120</v>
      </c>
      <c r="K11" s="125">
        <v>60</v>
      </c>
      <c r="L11" s="125">
        <v>0</v>
      </c>
      <c r="M11" s="134" t="s">
        <v>74</v>
      </c>
      <c r="N11" s="134"/>
      <c r="O11" s="135"/>
      <c r="P11" s="125" t="s">
        <v>33</v>
      </c>
      <c r="Q11" s="141"/>
      <c r="R11" s="139">
        <v>18</v>
      </c>
      <c r="S11" s="136" t="s">
        <v>159</v>
      </c>
      <c r="T11" s="125"/>
      <c r="U11" s="137"/>
      <c r="V11" s="137"/>
      <c r="W11" s="137"/>
      <c r="X11" s="138"/>
      <c r="Y11" s="137"/>
      <c r="Z11" s="137"/>
      <c r="AA11" s="125">
        <f t="shared" si="0"/>
        <v>60</v>
      </c>
      <c r="AB11" s="138"/>
      <c r="AC11" s="125" t="s">
        <v>295</v>
      </c>
      <c r="AE11" s="194" t="s">
        <v>7</v>
      </c>
      <c r="AF11" s="194" t="s">
        <v>7</v>
      </c>
    </row>
    <row r="12" spans="1:32" s="142" customFormat="1" ht="12" x14ac:dyDescent="0.25">
      <c r="A12" s="125">
        <f>SUBTOTAL(3,B$9:$B12)</f>
        <v>4</v>
      </c>
      <c r="B12" s="125" t="s">
        <v>6</v>
      </c>
      <c r="C12" s="139" t="s">
        <v>129</v>
      </c>
      <c r="D12" s="140" t="s">
        <v>149</v>
      </c>
      <c r="E12" s="133" t="s">
        <v>152</v>
      </c>
      <c r="F12" s="20" t="s">
        <v>153</v>
      </c>
      <c r="G12" s="125"/>
      <c r="H12" s="136" t="s">
        <v>123</v>
      </c>
      <c r="I12" s="136" t="str">
        <f t="shared" si="1"/>
        <v>5(5,0)</v>
      </c>
      <c r="J12" s="125" t="s">
        <v>291</v>
      </c>
      <c r="K12" s="125">
        <v>75</v>
      </c>
      <c r="L12" s="125">
        <v>0</v>
      </c>
      <c r="M12" s="134" t="s">
        <v>74</v>
      </c>
      <c r="N12" s="134"/>
      <c r="O12" s="135"/>
      <c r="P12" s="125" t="s">
        <v>33</v>
      </c>
      <c r="Q12" s="141"/>
      <c r="R12" s="139">
        <v>18</v>
      </c>
      <c r="S12" s="136" t="s">
        <v>159</v>
      </c>
      <c r="T12" s="125"/>
      <c r="U12" s="137"/>
      <c r="V12" s="137"/>
      <c r="W12" s="137"/>
      <c r="X12" s="138"/>
      <c r="Y12" s="137"/>
      <c r="Z12" s="137"/>
      <c r="AA12" s="125">
        <f t="shared" si="0"/>
        <v>75</v>
      </c>
      <c r="AB12" s="138"/>
      <c r="AC12" s="125" t="s">
        <v>295</v>
      </c>
      <c r="AE12" s="215" t="s">
        <v>7</v>
      </c>
      <c r="AF12" s="215" t="s">
        <v>7</v>
      </c>
    </row>
    <row r="13" spans="1:32" s="142" customFormat="1" ht="12" x14ac:dyDescent="0.25">
      <c r="A13" s="125">
        <f>SUBTOTAL(3,B$9:$B13)</f>
        <v>5</v>
      </c>
      <c r="B13" s="125" t="s">
        <v>6</v>
      </c>
      <c r="C13" s="139" t="s">
        <v>129</v>
      </c>
      <c r="D13" s="140" t="s">
        <v>149</v>
      </c>
      <c r="E13" s="133" t="s">
        <v>126</v>
      </c>
      <c r="F13" s="20" t="s">
        <v>127</v>
      </c>
      <c r="G13" s="125"/>
      <c r="H13" s="136" t="s">
        <v>123</v>
      </c>
      <c r="I13" s="136" t="str">
        <f t="shared" si="1"/>
        <v>2(2,0)</v>
      </c>
      <c r="J13" s="125" t="s">
        <v>130</v>
      </c>
      <c r="K13" s="125">
        <v>30</v>
      </c>
      <c r="L13" s="125">
        <v>0</v>
      </c>
      <c r="M13" s="134" t="s">
        <v>74</v>
      </c>
      <c r="N13" s="134"/>
      <c r="O13" s="135"/>
      <c r="P13" s="125" t="s">
        <v>33</v>
      </c>
      <c r="Q13" s="141"/>
      <c r="R13" s="139">
        <v>18</v>
      </c>
      <c r="S13" s="136" t="s">
        <v>159</v>
      </c>
      <c r="T13" s="125"/>
      <c r="U13" s="137"/>
      <c r="V13" s="137"/>
      <c r="W13" s="137"/>
      <c r="X13" s="138"/>
      <c r="Y13" s="137"/>
      <c r="Z13" s="137"/>
      <c r="AA13" s="125">
        <f t="shared" si="0"/>
        <v>30</v>
      </c>
      <c r="AB13" s="138"/>
      <c r="AC13" s="125" t="s">
        <v>295</v>
      </c>
      <c r="AE13" s="194" t="s">
        <v>7</v>
      </c>
      <c r="AF13" s="194" t="s">
        <v>7</v>
      </c>
    </row>
    <row r="14" spans="1:32" s="142" customFormat="1" ht="12" x14ac:dyDescent="0.25">
      <c r="A14" s="125">
        <f>SUBTOTAL(3,B$9:$B14)</f>
        <v>6</v>
      </c>
      <c r="B14" s="125" t="s">
        <v>6</v>
      </c>
      <c r="C14" s="139" t="s">
        <v>129</v>
      </c>
      <c r="D14" s="140" t="s">
        <v>149</v>
      </c>
      <c r="E14" s="133" t="s">
        <v>154</v>
      </c>
      <c r="F14" s="20" t="s">
        <v>122</v>
      </c>
      <c r="G14" s="125"/>
      <c r="H14" s="136" t="s">
        <v>123</v>
      </c>
      <c r="I14" s="136" t="str">
        <f t="shared" si="1"/>
        <v>2(0,2)</v>
      </c>
      <c r="J14" s="125" t="s">
        <v>120</v>
      </c>
      <c r="K14" s="125">
        <v>60</v>
      </c>
      <c r="L14" s="125">
        <v>0</v>
      </c>
      <c r="M14" s="134" t="s">
        <v>74</v>
      </c>
      <c r="N14" s="134"/>
      <c r="O14" s="135"/>
      <c r="P14" s="125" t="s">
        <v>33</v>
      </c>
      <c r="Q14" s="141"/>
      <c r="R14" s="139">
        <v>18</v>
      </c>
      <c r="S14" s="136" t="s">
        <v>159</v>
      </c>
      <c r="T14" s="125"/>
      <c r="U14" s="137"/>
      <c r="V14" s="137"/>
      <c r="W14" s="137"/>
      <c r="X14" s="138"/>
      <c r="Y14" s="137"/>
      <c r="Z14" s="137"/>
      <c r="AA14" s="125">
        <f t="shared" si="0"/>
        <v>60</v>
      </c>
      <c r="AB14" s="138"/>
      <c r="AC14" s="125" t="s">
        <v>295</v>
      </c>
      <c r="AE14" s="215" t="s">
        <v>7</v>
      </c>
      <c r="AF14" s="215" t="s">
        <v>7</v>
      </c>
    </row>
    <row r="15" spans="1:32" s="143" customFormat="1" ht="12" x14ac:dyDescent="0.25">
      <c r="A15" s="145">
        <f>SUBTOTAL(3,B$9:$B15)</f>
        <v>7</v>
      </c>
      <c r="B15" s="145" t="s">
        <v>6</v>
      </c>
      <c r="C15" s="146" t="s">
        <v>217</v>
      </c>
      <c r="D15" s="155" t="s">
        <v>136</v>
      </c>
      <c r="E15" s="147" t="s">
        <v>158</v>
      </c>
      <c r="F15" s="148" t="s">
        <v>157</v>
      </c>
      <c r="G15" s="145"/>
      <c r="H15" s="149" t="s">
        <v>129</v>
      </c>
      <c r="I15" s="149" t="str">
        <f t="shared" si="1"/>
        <v>3(1,2)</v>
      </c>
      <c r="J15" s="145" t="s">
        <v>113</v>
      </c>
      <c r="K15" s="145">
        <v>75</v>
      </c>
      <c r="L15" s="145">
        <v>0</v>
      </c>
      <c r="M15" s="153" t="s">
        <v>74</v>
      </c>
      <c r="N15" s="153"/>
      <c r="O15" s="154"/>
      <c r="P15" s="145" t="s">
        <v>33</v>
      </c>
      <c r="Q15" s="150"/>
      <c r="R15" s="146">
        <v>18</v>
      </c>
      <c r="S15" s="149" t="s">
        <v>160</v>
      </c>
      <c r="T15" s="145"/>
      <c r="U15" s="151"/>
      <c r="V15" s="151"/>
      <c r="W15" s="151"/>
      <c r="X15" s="152"/>
      <c r="Y15" s="151"/>
      <c r="Z15" s="151"/>
      <c r="AA15" s="125">
        <f t="shared" si="0"/>
        <v>75</v>
      </c>
      <c r="AB15" s="152"/>
      <c r="AC15" s="149" t="s">
        <v>295</v>
      </c>
      <c r="AE15" s="216" t="s">
        <v>450</v>
      </c>
      <c r="AF15" s="193"/>
    </row>
    <row r="16" spans="1:32" s="143" customFormat="1" ht="12" x14ac:dyDescent="0.25">
      <c r="A16" s="145">
        <f>SUBTOTAL(3,B$9:$B16)</f>
        <v>8</v>
      </c>
      <c r="B16" s="145" t="s">
        <v>6</v>
      </c>
      <c r="C16" s="146" t="s">
        <v>217</v>
      </c>
      <c r="D16" s="155" t="s">
        <v>136</v>
      </c>
      <c r="E16" s="147" t="s">
        <v>124</v>
      </c>
      <c r="F16" s="148" t="s">
        <v>125</v>
      </c>
      <c r="G16" s="145"/>
      <c r="H16" s="149" t="s">
        <v>129</v>
      </c>
      <c r="I16" s="149" t="str">
        <f t="shared" si="1"/>
        <v>3(1,2)</v>
      </c>
      <c r="J16" s="145" t="s">
        <v>113</v>
      </c>
      <c r="K16" s="145">
        <v>75</v>
      </c>
      <c r="L16" s="145">
        <v>0</v>
      </c>
      <c r="M16" s="153" t="s">
        <v>74</v>
      </c>
      <c r="N16" s="153"/>
      <c r="O16" s="154"/>
      <c r="P16" s="145" t="s">
        <v>33</v>
      </c>
      <c r="Q16" s="150"/>
      <c r="R16" s="146">
        <v>18</v>
      </c>
      <c r="S16" s="149" t="s">
        <v>160</v>
      </c>
      <c r="T16" s="145"/>
      <c r="U16" s="151"/>
      <c r="V16" s="151"/>
      <c r="W16" s="151"/>
      <c r="X16" s="152"/>
      <c r="Y16" s="151"/>
      <c r="Z16" s="151"/>
      <c r="AA16" s="125">
        <f t="shared" si="0"/>
        <v>75</v>
      </c>
      <c r="AB16" s="152"/>
      <c r="AC16" s="145" t="s">
        <v>295</v>
      </c>
      <c r="AE16" s="187" t="s">
        <v>448</v>
      </c>
      <c r="AF16" s="193"/>
    </row>
    <row r="17" spans="1:32" s="143" customFormat="1" ht="12" x14ac:dyDescent="0.25">
      <c r="A17" s="145">
        <f>SUBTOTAL(3,B$9:$B17)</f>
        <v>9</v>
      </c>
      <c r="B17" s="145" t="s">
        <v>6</v>
      </c>
      <c r="C17" s="146" t="s">
        <v>217</v>
      </c>
      <c r="D17" s="155" t="s">
        <v>136</v>
      </c>
      <c r="E17" s="147" t="s">
        <v>108</v>
      </c>
      <c r="F17" s="148" t="s">
        <v>156</v>
      </c>
      <c r="G17" s="145"/>
      <c r="H17" s="149" t="s">
        <v>36</v>
      </c>
      <c r="I17" s="149" t="str">
        <f t="shared" si="1"/>
        <v>2(0,2)</v>
      </c>
      <c r="J17" s="145" t="s">
        <v>120</v>
      </c>
      <c r="K17" s="145">
        <v>60</v>
      </c>
      <c r="L17" s="145">
        <v>0</v>
      </c>
      <c r="M17" s="153" t="s">
        <v>74</v>
      </c>
      <c r="N17" s="153"/>
      <c r="O17" s="154"/>
      <c r="P17" s="145" t="s">
        <v>33</v>
      </c>
      <c r="Q17" s="150"/>
      <c r="R17" s="146">
        <v>18</v>
      </c>
      <c r="S17" s="149" t="s">
        <v>160</v>
      </c>
      <c r="T17" s="145"/>
      <c r="U17" s="151"/>
      <c r="V17" s="151"/>
      <c r="W17" s="151"/>
      <c r="X17" s="152"/>
      <c r="Y17" s="151"/>
      <c r="Z17" s="151"/>
      <c r="AA17" s="125">
        <f t="shared" si="0"/>
        <v>60</v>
      </c>
      <c r="AB17" s="152"/>
      <c r="AC17" s="145" t="s">
        <v>295</v>
      </c>
      <c r="AE17" s="206" t="s">
        <v>7</v>
      </c>
      <c r="AF17" s="194" t="s">
        <v>7</v>
      </c>
    </row>
    <row r="18" spans="1:32" s="143" customFormat="1" ht="12" x14ac:dyDescent="0.25">
      <c r="A18" s="145">
        <f>SUBTOTAL(3,B$9:$B18)</f>
        <v>10</v>
      </c>
      <c r="B18" s="145" t="s">
        <v>6</v>
      </c>
      <c r="C18" s="146" t="s">
        <v>217</v>
      </c>
      <c r="D18" s="155" t="s">
        <v>136</v>
      </c>
      <c r="E18" s="147" t="s">
        <v>152</v>
      </c>
      <c r="F18" s="148" t="s">
        <v>153</v>
      </c>
      <c r="G18" s="145"/>
      <c r="H18" s="149" t="s">
        <v>123</v>
      </c>
      <c r="I18" s="149" t="str">
        <f t="shared" si="1"/>
        <v>5(5,0)</v>
      </c>
      <c r="J18" s="145" t="s">
        <v>291</v>
      </c>
      <c r="K18" s="145">
        <v>75</v>
      </c>
      <c r="L18" s="145">
        <v>0</v>
      </c>
      <c r="M18" s="153" t="s">
        <v>74</v>
      </c>
      <c r="N18" s="153"/>
      <c r="O18" s="154"/>
      <c r="P18" s="145" t="s">
        <v>33</v>
      </c>
      <c r="Q18" s="150"/>
      <c r="R18" s="146">
        <v>18</v>
      </c>
      <c r="S18" s="149" t="s">
        <v>160</v>
      </c>
      <c r="T18" s="145"/>
      <c r="U18" s="151"/>
      <c r="V18" s="151"/>
      <c r="W18" s="151"/>
      <c r="X18" s="152"/>
      <c r="Y18" s="151"/>
      <c r="Z18" s="151"/>
      <c r="AA18" s="125">
        <f t="shared" si="0"/>
        <v>75</v>
      </c>
      <c r="AB18" s="152"/>
      <c r="AC18" s="145" t="s">
        <v>295</v>
      </c>
      <c r="AE18" s="217" t="s">
        <v>7</v>
      </c>
      <c r="AF18" s="215" t="s">
        <v>7</v>
      </c>
    </row>
    <row r="19" spans="1:32" s="143" customFormat="1" ht="12" x14ac:dyDescent="0.25">
      <c r="A19" s="145">
        <f>SUBTOTAL(3,B$9:$B19)</f>
        <v>11</v>
      </c>
      <c r="B19" s="145" t="s">
        <v>6</v>
      </c>
      <c r="C19" s="146" t="s">
        <v>217</v>
      </c>
      <c r="D19" s="155" t="s">
        <v>136</v>
      </c>
      <c r="E19" s="147" t="s">
        <v>126</v>
      </c>
      <c r="F19" s="148" t="s">
        <v>127</v>
      </c>
      <c r="G19" s="145"/>
      <c r="H19" s="149" t="s">
        <v>123</v>
      </c>
      <c r="I19" s="149" t="str">
        <f t="shared" si="1"/>
        <v>2(2,0)</v>
      </c>
      <c r="J19" s="145" t="s">
        <v>130</v>
      </c>
      <c r="K19" s="145">
        <v>30</v>
      </c>
      <c r="L19" s="145">
        <v>0</v>
      </c>
      <c r="M19" s="153" t="s">
        <v>74</v>
      </c>
      <c r="N19" s="153"/>
      <c r="O19" s="154"/>
      <c r="P19" s="145" t="s">
        <v>33</v>
      </c>
      <c r="Q19" s="150"/>
      <c r="R19" s="146">
        <v>18</v>
      </c>
      <c r="S19" s="149" t="s">
        <v>160</v>
      </c>
      <c r="T19" s="145"/>
      <c r="U19" s="151"/>
      <c r="V19" s="151"/>
      <c r="W19" s="151"/>
      <c r="X19" s="152"/>
      <c r="Y19" s="151"/>
      <c r="Z19" s="151"/>
      <c r="AA19" s="125">
        <f t="shared" si="0"/>
        <v>30</v>
      </c>
      <c r="AB19" s="152"/>
      <c r="AC19" s="145" t="s">
        <v>295</v>
      </c>
      <c r="AE19" s="206" t="s">
        <v>7</v>
      </c>
      <c r="AF19" s="194" t="s">
        <v>7</v>
      </c>
    </row>
    <row r="20" spans="1:32" s="143" customFormat="1" ht="12" x14ac:dyDescent="0.25">
      <c r="A20" s="145">
        <f>SUBTOTAL(3,B$9:$B20)</f>
        <v>12</v>
      </c>
      <c r="B20" s="145" t="s">
        <v>6</v>
      </c>
      <c r="C20" s="146" t="s">
        <v>217</v>
      </c>
      <c r="D20" s="155" t="s">
        <v>136</v>
      </c>
      <c r="E20" s="147" t="s">
        <v>154</v>
      </c>
      <c r="F20" s="148" t="s">
        <v>122</v>
      </c>
      <c r="G20" s="145"/>
      <c r="H20" s="149" t="s">
        <v>123</v>
      </c>
      <c r="I20" s="149" t="str">
        <f t="shared" si="1"/>
        <v>2(0,2)</v>
      </c>
      <c r="J20" s="145" t="s">
        <v>120</v>
      </c>
      <c r="K20" s="145">
        <v>60</v>
      </c>
      <c r="L20" s="145">
        <v>0</v>
      </c>
      <c r="M20" s="153" t="s">
        <v>74</v>
      </c>
      <c r="N20" s="153"/>
      <c r="O20" s="154"/>
      <c r="P20" s="145" t="s">
        <v>33</v>
      </c>
      <c r="Q20" s="150"/>
      <c r="R20" s="146">
        <v>18</v>
      </c>
      <c r="S20" s="149" t="s">
        <v>160</v>
      </c>
      <c r="T20" s="145"/>
      <c r="U20" s="151"/>
      <c r="V20" s="151"/>
      <c r="W20" s="151"/>
      <c r="X20" s="152"/>
      <c r="Y20" s="151"/>
      <c r="Z20" s="151"/>
      <c r="AA20" s="125">
        <f t="shared" si="0"/>
        <v>60</v>
      </c>
      <c r="AB20" s="152"/>
      <c r="AC20" s="145" t="s">
        <v>295</v>
      </c>
      <c r="AE20" s="217" t="s">
        <v>7</v>
      </c>
      <c r="AF20" s="215" t="s">
        <v>7</v>
      </c>
    </row>
    <row r="21" spans="1:32" s="142" customFormat="1" ht="12" x14ac:dyDescent="0.25">
      <c r="A21" s="125">
        <f>SUBTOTAL(3,B$9:$B21)</f>
        <v>13</v>
      </c>
      <c r="B21" s="125" t="s">
        <v>6</v>
      </c>
      <c r="C21" s="139" t="s">
        <v>166</v>
      </c>
      <c r="D21" s="140" t="s">
        <v>166</v>
      </c>
      <c r="E21" s="133" t="s">
        <v>167</v>
      </c>
      <c r="F21" s="20" t="s">
        <v>161</v>
      </c>
      <c r="G21" s="20"/>
      <c r="H21" s="136" t="s">
        <v>129</v>
      </c>
      <c r="I21" s="136" t="str">
        <f t="shared" si="1"/>
        <v>3(1,2)</v>
      </c>
      <c r="J21" s="125" t="s">
        <v>113</v>
      </c>
      <c r="K21" s="125">
        <v>75</v>
      </c>
      <c r="L21" s="125">
        <v>0</v>
      </c>
      <c r="M21" s="125" t="s">
        <v>74</v>
      </c>
      <c r="N21" s="135"/>
      <c r="O21" s="135"/>
      <c r="P21" s="125" t="s">
        <v>33</v>
      </c>
      <c r="Q21" s="141"/>
      <c r="R21" s="139">
        <v>18</v>
      </c>
      <c r="S21" s="136" t="s">
        <v>169</v>
      </c>
      <c r="T21" s="125"/>
      <c r="U21" s="137"/>
      <c r="V21" s="137"/>
      <c r="W21" s="137"/>
      <c r="X21" s="138"/>
      <c r="Y21" s="137"/>
      <c r="Z21" s="137"/>
      <c r="AA21" s="125">
        <f t="shared" si="0"/>
        <v>75</v>
      </c>
      <c r="AB21" s="138"/>
      <c r="AC21" s="136" t="s">
        <v>295</v>
      </c>
      <c r="AE21" s="218" t="s">
        <v>463</v>
      </c>
      <c r="AF21" s="187"/>
    </row>
    <row r="22" spans="1:32" s="142" customFormat="1" ht="12" x14ac:dyDescent="0.25">
      <c r="A22" s="125">
        <f>SUBTOTAL(3,B$9:$B22)</f>
        <v>14</v>
      </c>
      <c r="B22" s="125" t="s">
        <v>6</v>
      </c>
      <c r="C22" s="139" t="s">
        <v>166</v>
      </c>
      <c r="D22" s="140" t="s">
        <v>166</v>
      </c>
      <c r="E22" s="133" t="s">
        <v>124</v>
      </c>
      <c r="F22" s="20" t="s">
        <v>125</v>
      </c>
      <c r="G22" s="20"/>
      <c r="H22" s="125" t="s">
        <v>129</v>
      </c>
      <c r="I22" s="136" t="str">
        <f t="shared" si="1"/>
        <v>3(1,2)</v>
      </c>
      <c r="J22" s="125" t="s">
        <v>113</v>
      </c>
      <c r="K22" s="125">
        <v>75</v>
      </c>
      <c r="L22" s="125">
        <v>0</v>
      </c>
      <c r="M22" s="125" t="s">
        <v>74</v>
      </c>
      <c r="N22" s="135"/>
      <c r="O22" s="135"/>
      <c r="P22" s="125" t="s">
        <v>33</v>
      </c>
      <c r="Q22" s="141"/>
      <c r="R22" s="139">
        <v>18</v>
      </c>
      <c r="S22" s="136" t="s">
        <v>169</v>
      </c>
      <c r="T22" s="125"/>
      <c r="U22" s="137"/>
      <c r="V22" s="137"/>
      <c r="W22" s="137"/>
      <c r="X22" s="138"/>
      <c r="Y22" s="137"/>
      <c r="Z22" s="137"/>
      <c r="AA22" s="125">
        <f t="shared" si="0"/>
        <v>75</v>
      </c>
      <c r="AB22" s="138"/>
      <c r="AC22" s="125" t="s">
        <v>295</v>
      </c>
      <c r="AE22" s="187" t="s">
        <v>448</v>
      </c>
      <c r="AF22" s="187"/>
    </row>
    <row r="23" spans="1:32" s="142" customFormat="1" ht="12" x14ac:dyDescent="0.25">
      <c r="A23" s="125">
        <f>SUBTOTAL(3,B$9:$B23)</f>
        <v>15</v>
      </c>
      <c r="B23" s="125" t="s">
        <v>6</v>
      </c>
      <c r="C23" s="139" t="s">
        <v>166</v>
      </c>
      <c r="D23" s="140" t="s">
        <v>166</v>
      </c>
      <c r="E23" s="133" t="s">
        <v>108</v>
      </c>
      <c r="F23" s="20" t="s">
        <v>156</v>
      </c>
      <c r="G23" s="20"/>
      <c r="H23" s="125" t="s">
        <v>36</v>
      </c>
      <c r="I23" s="136" t="str">
        <f t="shared" si="1"/>
        <v>2(0,2)</v>
      </c>
      <c r="J23" s="125" t="s">
        <v>120</v>
      </c>
      <c r="K23" s="125">
        <v>60</v>
      </c>
      <c r="L23" s="125">
        <v>0</v>
      </c>
      <c r="M23" s="125" t="s">
        <v>74</v>
      </c>
      <c r="N23" s="135"/>
      <c r="O23" s="135"/>
      <c r="P23" s="125" t="s">
        <v>33</v>
      </c>
      <c r="Q23" s="141"/>
      <c r="R23" s="139">
        <v>18</v>
      </c>
      <c r="S23" s="136" t="s">
        <v>169</v>
      </c>
      <c r="T23" s="125"/>
      <c r="U23" s="137"/>
      <c r="V23" s="137"/>
      <c r="W23" s="137"/>
      <c r="X23" s="138"/>
      <c r="Y23" s="137"/>
      <c r="Z23" s="137"/>
      <c r="AA23" s="125">
        <f t="shared" si="0"/>
        <v>60</v>
      </c>
      <c r="AB23" s="138"/>
      <c r="AC23" s="125" t="s">
        <v>295</v>
      </c>
      <c r="AE23" s="194" t="s">
        <v>7</v>
      </c>
      <c r="AF23" s="194" t="s">
        <v>7</v>
      </c>
    </row>
    <row r="24" spans="1:32" s="142" customFormat="1" ht="12" x14ac:dyDescent="0.25">
      <c r="A24" s="125">
        <f>SUBTOTAL(3,B$9:$B24)</f>
        <v>16</v>
      </c>
      <c r="B24" s="125" t="s">
        <v>6</v>
      </c>
      <c r="C24" s="139" t="s">
        <v>166</v>
      </c>
      <c r="D24" s="140" t="s">
        <v>166</v>
      </c>
      <c r="E24" s="133" t="s">
        <v>152</v>
      </c>
      <c r="F24" s="20" t="s">
        <v>153</v>
      </c>
      <c r="G24" s="20"/>
      <c r="H24" s="125" t="s">
        <v>123</v>
      </c>
      <c r="I24" s="136" t="str">
        <f t="shared" si="1"/>
        <v>5(5,0)</v>
      </c>
      <c r="J24" s="125" t="s">
        <v>291</v>
      </c>
      <c r="K24" s="125">
        <v>75</v>
      </c>
      <c r="L24" s="125">
        <v>0</v>
      </c>
      <c r="M24" s="125" t="s">
        <v>74</v>
      </c>
      <c r="N24" s="135"/>
      <c r="O24" s="135"/>
      <c r="P24" s="125" t="s">
        <v>33</v>
      </c>
      <c r="Q24" s="141"/>
      <c r="R24" s="139">
        <v>18</v>
      </c>
      <c r="S24" s="136" t="s">
        <v>169</v>
      </c>
      <c r="T24" s="125"/>
      <c r="U24" s="137"/>
      <c r="V24" s="137"/>
      <c r="W24" s="137"/>
      <c r="X24" s="138"/>
      <c r="Y24" s="137"/>
      <c r="Z24" s="137"/>
      <c r="AA24" s="125">
        <f t="shared" si="0"/>
        <v>75</v>
      </c>
      <c r="AB24" s="138"/>
      <c r="AC24" s="125" t="s">
        <v>295</v>
      </c>
      <c r="AE24" s="215" t="s">
        <v>7</v>
      </c>
      <c r="AF24" s="215" t="s">
        <v>7</v>
      </c>
    </row>
    <row r="25" spans="1:32" s="142" customFormat="1" ht="12" x14ac:dyDescent="0.25">
      <c r="A25" s="125">
        <f>SUBTOTAL(3,B$9:$B25)</f>
        <v>17</v>
      </c>
      <c r="B25" s="125" t="s">
        <v>6</v>
      </c>
      <c r="C25" s="139" t="s">
        <v>166</v>
      </c>
      <c r="D25" s="140" t="s">
        <v>166</v>
      </c>
      <c r="E25" s="133" t="s">
        <v>126</v>
      </c>
      <c r="F25" s="20" t="s">
        <v>127</v>
      </c>
      <c r="G25" s="20"/>
      <c r="H25" s="125" t="s">
        <v>123</v>
      </c>
      <c r="I25" s="136" t="str">
        <f t="shared" si="1"/>
        <v>2(2,0)</v>
      </c>
      <c r="J25" s="125" t="s">
        <v>130</v>
      </c>
      <c r="K25" s="125">
        <v>30</v>
      </c>
      <c r="L25" s="125">
        <v>0</v>
      </c>
      <c r="M25" s="125" t="s">
        <v>74</v>
      </c>
      <c r="N25" s="135"/>
      <c r="O25" s="135"/>
      <c r="P25" s="125" t="s">
        <v>33</v>
      </c>
      <c r="Q25" s="141"/>
      <c r="R25" s="139">
        <v>18</v>
      </c>
      <c r="S25" s="136" t="s">
        <v>169</v>
      </c>
      <c r="T25" s="125"/>
      <c r="U25" s="137"/>
      <c r="V25" s="137"/>
      <c r="W25" s="137"/>
      <c r="X25" s="138"/>
      <c r="Y25" s="137"/>
      <c r="Z25" s="137"/>
      <c r="AA25" s="125">
        <f t="shared" si="0"/>
        <v>30</v>
      </c>
      <c r="AB25" s="138"/>
      <c r="AC25" s="125" t="s">
        <v>295</v>
      </c>
      <c r="AE25" s="194" t="s">
        <v>7</v>
      </c>
      <c r="AF25" s="194" t="s">
        <v>7</v>
      </c>
    </row>
    <row r="26" spans="1:32" s="142" customFormat="1" ht="12" x14ac:dyDescent="0.25">
      <c r="A26" s="125">
        <f>SUBTOTAL(3,B$9:$B26)</f>
        <v>18</v>
      </c>
      <c r="B26" s="125" t="s">
        <v>6</v>
      </c>
      <c r="C26" s="139" t="s">
        <v>166</v>
      </c>
      <c r="D26" s="140" t="s">
        <v>166</v>
      </c>
      <c r="E26" s="133" t="s">
        <v>154</v>
      </c>
      <c r="F26" s="20" t="s">
        <v>122</v>
      </c>
      <c r="G26" s="20"/>
      <c r="H26" s="125" t="s">
        <v>123</v>
      </c>
      <c r="I26" s="136" t="str">
        <f t="shared" si="1"/>
        <v>2(0,2)</v>
      </c>
      <c r="J26" s="125" t="s">
        <v>120</v>
      </c>
      <c r="K26" s="125">
        <v>60</v>
      </c>
      <c r="L26" s="125">
        <v>0</v>
      </c>
      <c r="M26" s="125" t="s">
        <v>74</v>
      </c>
      <c r="N26" s="135"/>
      <c r="O26" s="135"/>
      <c r="P26" s="125" t="s">
        <v>33</v>
      </c>
      <c r="Q26" s="141"/>
      <c r="R26" s="139">
        <v>18</v>
      </c>
      <c r="S26" s="136" t="s">
        <v>169</v>
      </c>
      <c r="T26" s="125"/>
      <c r="U26" s="137"/>
      <c r="V26" s="137"/>
      <c r="W26" s="137"/>
      <c r="X26" s="138"/>
      <c r="Y26" s="137"/>
      <c r="Z26" s="137"/>
      <c r="AA26" s="125">
        <f t="shared" si="0"/>
        <v>60</v>
      </c>
      <c r="AB26" s="138"/>
      <c r="AC26" s="125" t="s">
        <v>295</v>
      </c>
      <c r="AE26" s="215" t="s">
        <v>7</v>
      </c>
      <c r="AF26" s="215" t="s">
        <v>7</v>
      </c>
    </row>
    <row r="27" spans="1:32" s="143" customFormat="1" ht="12" x14ac:dyDescent="0.25">
      <c r="A27" s="145">
        <f>SUBTOTAL(3,B$9:$B27)</f>
        <v>19</v>
      </c>
      <c r="B27" s="145" t="s">
        <v>6</v>
      </c>
      <c r="C27" s="146" t="s">
        <v>168</v>
      </c>
      <c r="D27" s="155" t="s">
        <v>168</v>
      </c>
      <c r="E27" s="147" t="s">
        <v>149</v>
      </c>
      <c r="F27" s="148" t="s">
        <v>150</v>
      </c>
      <c r="G27" s="148"/>
      <c r="H27" s="149" t="s">
        <v>129</v>
      </c>
      <c r="I27" s="149" t="str">
        <f t="shared" si="1"/>
        <v>3(2,1)</v>
      </c>
      <c r="J27" s="145" t="s">
        <v>111</v>
      </c>
      <c r="K27" s="145">
        <v>60</v>
      </c>
      <c r="L27" s="145">
        <v>0</v>
      </c>
      <c r="M27" s="145" t="s">
        <v>74</v>
      </c>
      <c r="N27" s="154"/>
      <c r="O27" s="145"/>
      <c r="P27" s="145" t="s">
        <v>33</v>
      </c>
      <c r="Q27" s="150"/>
      <c r="R27" s="146">
        <v>18</v>
      </c>
      <c r="S27" s="149" t="s">
        <v>170</v>
      </c>
      <c r="T27" s="145"/>
      <c r="U27" s="151"/>
      <c r="V27" s="151"/>
      <c r="W27" s="151"/>
      <c r="X27" s="152"/>
      <c r="Y27" s="151"/>
      <c r="Z27" s="151"/>
      <c r="AA27" s="125">
        <f t="shared" si="0"/>
        <v>60</v>
      </c>
      <c r="AB27" s="152"/>
      <c r="AC27" s="145" t="s">
        <v>295</v>
      </c>
      <c r="AE27" s="219"/>
      <c r="AF27" s="193"/>
    </row>
    <row r="28" spans="1:32" s="143" customFormat="1" ht="12" x14ac:dyDescent="0.25">
      <c r="A28" s="145">
        <f>SUBTOTAL(3,B$9:$B28)</f>
        <v>20</v>
      </c>
      <c r="B28" s="145" t="s">
        <v>6</v>
      </c>
      <c r="C28" s="146" t="s">
        <v>168</v>
      </c>
      <c r="D28" s="155" t="s">
        <v>168</v>
      </c>
      <c r="E28" s="147" t="s">
        <v>124</v>
      </c>
      <c r="F28" s="148" t="s">
        <v>125</v>
      </c>
      <c r="G28" s="148"/>
      <c r="H28" s="149" t="s">
        <v>129</v>
      </c>
      <c r="I28" s="149" t="str">
        <f t="shared" si="1"/>
        <v>3(1,2)</v>
      </c>
      <c r="J28" s="145" t="s">
        <v>113</v>
      </c>
      <c r="K28" s="145">
        <v>75</v>
      </c>
      <c r="L28" s="145">
        <v>0</v>
      </c>
      <c r="M28" s="145" t="s">
        <v>74</v>
      </c>
      <c r="N28" s="154"/>
      <c r="O28" s="145"/>
      <c r="P28" s="145" t="s">
        <v>33</v>
      </c>
      <c r="Q28" s="150"/>
      <c r="R28" s="146">
        <v>18</v>
      </c>
      <c r="S28" s="149" t="s">
        <v>170</v>
      </c>
      <c r="T28" s="145"/>
      <c r="U28" s="151"/>
      <c r="V28" s="151"/>
      <c r="W28" s="151"/>
      <c r="X28" s="152"/>
      <c r="Y28" s="151"/>
      <c r="Z28" s="151"/>
      <c r="AA28" s="125">
        <f t="shared" si="0"/>
        <v>75</v>
      </c>
      <c r="AB28" s="152"/>
      <c r="AC28" s="145" t="s">
        <v>295</v>
      </c>
      <c r="AE28" s="219"/>
      <c r="AF28" s="193"/>
    </row>
    <row r="29" spans="1:32" s="143" customFormat="1" ht="12" x14ac:dyDescent="0.25">
      <c r="A29" s="145">
        <f>SUBTOTAL(3,B$9:$B29)</f>
        <v>21</v>
      </c>
      <c r="B29" s="145" t="s">
        <v>6</v>
      </c>
      <c r="C29" s="146" t="s">
        <v>168</v>
      </c>
      <c r="D29" s="155" t="s">
        <v>168</v>
      </c>
      <c r="E29" s="147" t="s">
        <v>108</v>
      </c>
      <c r="F29" s="148" t="s">
        <v>109</v>
      </c>
      <c r="G29" s="148"/>
      <c r="H29" s="149" t="s">
        <v>36</v>
      </c>
      <c r="I29" s="149" t="str">
        <f t="shared" si="1"/>
        <v>3(2,1)</v>
      </c>
      <c r="J29" s="145" t="s">
        <v>111</v>
      </c>
      <c r="K29" s="145">
        <v>60</v>
      </c>
      <c r="L29" s="145">
        <v>0</v>
      </c>
      <c r="M29" s="145" t="s">
        <v>74</v>
      </c>
      <c r="N29" s="154"/>
      <c r="O29" s="145"/>
      <c r="P29" s="145" t="s">
        <v>33</v>
      </c>
      <c r="Q29" s="150"/>
      <c r="R29" s="146">
        <v>18</v>
      </c>
      <c r="S29" s="149" t="s">
        <v>170</v>
      </c>
      <c r="T29" s="145"/>
      <c r="U29" s="151"/>
      <c r="V29" s="151"/>
      <c r="W29" s="151"/>
      <c r="X29" s="152"/>
      <c r="Y29" s="151"/>
      <c r="Z29" s="151"/>
      <c r="AA29" s="125">
        <f t="shared" si="0"/>
        <v>60</v>
      </c>
      <c r="AB29" s="152"/>
      <c r="AC29" s="145" t="s">
        <v>295</v>
      </c>
      <c r="AE29" s="206" t="s">
        <v>7</v>
      </c>
      <c r="AF29" s="194" t="s">
        <v>7</v>
      </c>
    </row>
    <row r="30" spans="1:32" s="143" customFormat="1" ht="12" x14ac:dyDescent="0.25">
      <c r="A30" s="145">
        <f>SUBTOTAL(3,B$9:$B30)</f>
        <v>22</v>
      </c>
      <c r="B30" s="145" t="s">
        <v>6</v>
      </c>
      <c r="C30" s="146" t="s">
        <v>168</v>
      </c>
      <c r="D30" s="155" t="s">
        <v>168</v>
      </c>
      <c r="E30" s="147" t="s">
        <v>152</v>
      </c>
      <c r="F30" s="148" t="s">
        <v>121</v>
      </c>
      <c r="G30" s="148"/>
      <c r="H30" s="149" t="s">
        <v>123</v>
      </c>
      <c r="I30" s="149" t="str">
        <f t="shared" si="1"/>
        <v>4(3,1)</v>
      </c>
      <c r="J30" s="145" t="s">
        <v>112</v>
      </c>
      <c r="K30" s="145">
        <v>75</v>
      </c>
      <c r="L30" s="145">
        <v>0</v>
      </c>
      <c r="M30" s="145" t="s">
        <v>74</v>
      </c>
      <c r="N30" s="154"/>
      <c r="O30" s="145"/>
      <c r="P30" s="145" t="s">
        <v>33</v>
      </c>
      <c r="Q30" s="150"/>
      <c r="R30" s="146">
        <v>18</v>
      </c>
      <c r="S30" s="149" t="s">
        <v>170</v>
      </c>
      <c r="T30" s="145"/>
      <c r="U30" s="151"/>
      <c r="V30" s="151"/>
      <c r="W30" s="151"/>
      <c r="X30" s="152"/>
      <c r="Y30" s="151"/>
      <c r="Z30" s="151"/>
      <c r="AA30" s="125">
        <f t="shared" si="0"/>
        <v>75</v>
      </c>
      <c r="AB30" s="152"/>
      <c r="AC30" s="145" t="s">
        <v>295</v>
      </c>
      <c r="AE30" s="217" t="s">
        <v>7</v>
      </c>
      <c r="AF30" s="215" t="s">
        <v>7</v>
      </c>
    </row>
    <row r="31" spans="1:32" s="143" customFormat="1" ht="12" x14ac:dyDescent="0.25">
      <c r="A31" s="145">
        <f>SUBTOTAL(3,B$9:$B31)</f>
        <v>23</v>
      </c>
      <c r="B31" s="145" t="s">
        <v>6</v>
      </c>
      <c r="C31" s="146" t="s">
        <v>168</v>
      </c>
      <c r="D31" s="155" t="s">
        <v>168</v>
      </c>
      <c r="E31" s="147" t="s">
        <v>126</v>
      </c>
      <c r="F31" s="148" t="s">
        <v>127</v>
      </c>
      <c r="G31" s="148"/>
      <c r="H31" s="149" t="s">
        <v>123</v>
      </c>
      <c r="I31" s="149" t="str">
        <f t="shared" si="1"/>
        <v>2(2,0)</v>
      </c>
      <c r="J31" s="145" t="s">
        <v>130</v>
      </c>
      <c r="K31" s="145">
        <v>30</v>
      </c>
      <c r="L31" s="145">
        <v>0</v>
      </c>
      <c r="M31" s="145" t="s">
        <v>74</v>
      </c>
      <c r="N31" s="154"/>
      <c r="O31" s="145"/>
      <c r="P31" s="145" t="s">
        <v>33</v>
      </c>
      <c r="Q31" s="150"/>
      <c r="R31" s="146">
        <v>18</v>
      </c>
      <c r="S31" s="149" t="s">
        <v>170</v>
      </c>
      <c r="T31" s="145"/>
      <c r="U31" s="151"/>
      <c r="V31" s="151"/>
      <c r="W31" s="151"/>
      <c r="X31" s="152"/>
      <c r="Y31" s="151"/>
      <c r="Z31" s="151"/>
      <c r="AA31" s="125">
        <f t="shared" si="0"/>
        <v>30</v>
      </c>
      <c r="AB31" s="152"/>
      <c r="AC31" s="145" t="s">
        <v>295</v>
      </c>
      <c r="AE31" s="206" t="s">
        <v>7</v>
      </c>
      <c r="AF31" s="194" t="s">
        <v>7</v>
      </c>
    </row>
    <row r="32" spans="1:32" s="143" customFormat="1" ht="12" x14ac:dyDescent="0.25">
      <c r="A32" s="145">
        <f>SUBTOTAL(3,B$9:$B32)</f>
        <v>24</v>
      </c>
      <c r="B32" s="145" t="s">
        <v>6</v>
      </c>
      <c r="C32" s="146" t="s">
        <v>168</v>
      </c>
      <c r="D32" s="155" t="s">
        <v>168</v>
      </c>
      <c r="E32" s="147" t="s">
        <v>154</v>
      </c>
      <c r="F32" s="148" t="s">
        <v>122</v>
      </c>
      <c r="G32" s="148"/>
      <c r="H32" s="149" t="s">
        <v>123</v>
      </c>
      <c r="I32" s="149" t="str">
        <f t="shared" si="1"/>
        <v>2(0,2)</v>
      </c>
      <c r="J32" s="145" t="s">
        <v>120</v>
      </c>
      <c r="K32" s="145">
        <v>60</v>
      </c>
      <c r="L32" s="145">
        <v>0</v>
      </c>
      <c r="M32" s="145" t="s">
        <v>74</v>
      </c>
      <c r="N32" s="154"/>
      <c r="O32" s="145"/>
      <c r="P32" s="145" t="s">
        <v>33</v>
      </c>
      <c r="Q32" s="150"/>
      <c r="R32" s="146">
        <v>18</v>
      </c>
      <c r="S32" s="149" t="s">
        <v>170</v>
      </c>
      <c r="T32" s="145"/>
      <c r="U32" s="151"/>
      <c r="V32" s="151"/>
      <c r="W32" s="151"/>
      <c r="X32" s="152"/>
      <c r="Y32" s="151"/>
      <c r="Z32" s="151"/>
      <c r="AA32" s="125">
        <f t="shared" si="0"/>
        <v>60</v>
      </c>
      <c r="AB32" s="152"/>
      <c r="AC32" s="145" t="s">
        <v>295</v>
      </c>
      <c r="AE32" s="217" t="s">
        <v>7</v>
      </c>
      <c r="AF32" s="215" t="s">
        <v>7</v>
      </c>
    </row>
    <row r="33" spans="1:32" s="142" customFormat="1" ht="24" x14ac:dyDescent="0.25">
      <c r="A33" s="125">
        <f>SUBTOTAL(3,B$9:$B33)</f>
        <v>25</v>
      </c>
      <c r="B33" s="125" t="s">
        <v>6</v>
      </c>
      <c r="C33" s="139" t="s">
        <v>129</v>
      </c>
      <c r="D33" s="140" t="s">
        <v>149</v>
      </c>
      <c r="E33" s="133" t="s">
        <v>142</v>
      </c>
      <c r="F33" s="20" t="s">
        <v>172</v>
      </c>
      <c r="G33" s="20"/>
      <c r="H33" s="136" t="s">
        <v>129</v>
      </c>
      <c r="I33" s="136" t="str">
        <f t="shared" si="1"/>
        <v>4(3,1)</v>
      </c>
      <c r="J33" s="125" t="s">
        <v>112</v>
      </c>
      <c r="K33" s="125">
        <v>75</v>
      </c>
      <c r="L33" s="125">
        <v>0</v>
      </c>
      <c r="M33" s="134" t="s">
        <v>74</v>
      </c>
      <c r="N33" s="134"/>
      <c r="O33" s="135"/>
      <c r="P33" s="125" t="s">
        <v>33</v>
      </c>
      <c r="Q33" s="141"/>
      <c r="R33" s="139">
        <v>17</v>
      </c>
      <c r="S33" s="136" t="s">
        <v>206</v>
      </c>
      <c r="T33" s="125"/>
      <c r="U33" s="137"/>
      <c r="V33" s="137"/>
      <c r="W33" s="137"/>
      <c r="X33" s="138"/>
      <c r="Y33" s="137"/>
      <c r="Z33" s="137"/>
      <c r="AA33" s="125">
        <f t="shared" si="0"/>
        <v>75</v>
      </c>
      <c r="AB33" s="138"/>
      <c r="AC33" s="125"/>
      <c r="AE33" s="187" t="s">
        <v>451</v>
      </c>
      <c r="AF33" s="187" t="s">
        <v>452</v>
      </c>
    </row>
    <row r="34" spans="1:32" s="142" customFormat="1" ht="24" x14ac:dyDescent="0.25">
      <c r="A34" s="125">
        <f>SUBTOTAL(3,B$9:$B34)</f>
        <v>26</v>
      </c>
      <c r="B34" s="125" t="s">
        <v>6</v>
      </c>
      <c r="C34" s="139" t="s">
        <v>129</v>
      </c>
      <c r="D34" s="140" t="s">
        <v>149</v>
      </c>
      <c r="E34" s="133" t="s">
        <v>181</v>
      </c>
      <c r="F34" s="20" t="s">
        <v>174</v>
      </c>
      <c r="G34" s="20"/>
      <c r="H34" s="136" t="s">
        <v>129</v>
      </c>
      <c r="I34" s="136" t="str">
        <f t="shared" si="1"/>
        <v>3(1,2)</v>
      </c>
      <c r="J34" s="125" t="s">
        <v>113</v>
      </c>
      <c r="K34" s="125">
        <v>75</v>
      </c>
      <c r="L34" s="125">
        <v>0</v>
      </c>
      <c r="M34" s="134" t="s">
        <v>74</v>
      </c>
      <c r="N34" s="134"/>
      <c r="O34" s="135"/>
      <c r="P34" s="125" t="s">
        <v>33</v>
      </c>
      <c r="Q34" s="141"/>
      <c r="R34" s="139">
        <v>17</v>
      </c>
      <c r="S34" s="136" t="s">
        <v>206</v>
      </c>
      <c r="T34" s="125"/>
      <c r="U34" s="137"/>
      <c r="V34" s="137"/>
      <c r="W34" s="137"/>
      <c r="X34" s="138"/>
      <c r="Y34" s="137"/>
      <c r="Z34" s="137"/>
      <c r="AA34" s="125">
        <f t="shared" si="0"/>
        <v>75</v>
      </c>
      <c r="AB34" s="138"/>
      <c r="AC34" s="125"/>
      <c r="AE34" s="147" t="s">
        <v>453</v>
      </c>
      <c r="AF34" s="153" t="s">
        <v>441</v>
      </c>
    </row>
    <row r="35" spans="1:32" s="142" customFormat="1" ht="12" x14ac:dyDescent="0.25">
      <c r="A35" s="125">
        <f>SUBTOTAL(3,B$9:$B35)</f>
        <v>27</v>
      </c>
      <c r="B35" s="125" t="s">
        <v>6</v>
      </c>
      <c r="C35" s="139" t="s">
        <v>129</v>
      </c>
      <c r="D35" s="140" t="s">
        <v>149</v>
      </c>
      <c r="E35" s="133" t="s">
        <v>144</v>
      </c>
      <c r="F35" s="20" t="s">
        <v>175</v>
      </c>
      <c r="G35" s="20"/>
      <c r="H35" s="136" t="s">
        <v>129</v>
      </c>
      <c r="I35" s="136" t="str">
        <f t="shared" si="1"/>
        <v>3(1,2)</v>
      </c>
      <c r="J35" s="125" t="s">
        <v>113</v>
      </c>
      <c r="K35" s="125">
        <v>75</v>
      </c>
      <c r="L35" s="125">
        <v>0</v>
      </c>
      <c r="M35" s="134" t="s">
        <v>74</v>
      </c>
      <c r="N35" s="134"/>
      <c r="O35" s="135"/>
      <c r="P35" s="125" t="s">
        <v>33</v>
      </c>
      <c r="Q35" s="141"/>
      <c r="R35" s="139">
        <v>17</v>
      </c>
      <c r="S35" s="136" t="s">
        <v>206</v>
      </c>
      <c r="T35" s="125"/>
      <c r="U35" s="137"/>
      <c r="V35" s="137"/>
      <c r="W35" s="137"/>
      <c r="X35" s="138"/>
      <c r="Y35" s="137"/>
      <c r="Z35" s="137"/>
      <c r="AA35" s="125">
        <f t="shared" si="0"/>
        <v>75</v>
      </c>
      <c r="AB35" s="138"/>
      <c r="AC35" s="125"/>
      <c r="AE35" s="187" t="s">
        <v>454</v>
      </c>
      <c r="AF35" s="187"/>
    </row>
    <row r="36" spans="1:32" s="142" customFormat="1" ht="24" x14ac:dyDescent="0.25">
      <c r="A36" s="125">
        <f>SUBTOTAL(3,B$9:$B36)</f>
        <v>28</v>
      </c>
      <c r="B36" s="125" t="s">
        <v>6</v>
      </c>
      <c r="C36" s="139" t="s">
        <v>129</v>
      </c>
      <c r="D36" s="140" t="s">
        <v>149</v>
      </c>
      <c r="E36" s="133" t="s">
        <v>182</v>
      </c>
      <c r="F36" s="20" t="s">
        <v>176</v>
      </c>
      <c r="G36" s="20"/>
      <c r="H36" s="136" t="s">
        <v>129</v>
      </c>
      <c r="I36" s="136" t="str">
        <f t="shared" si="1"/>
        <v>3(2,1)</v>
      </c>
      <c r="J36" s="125" t="s">
        <v>111</v>
      </c>
      <c r="K36" s="125">
        <v>60</v>
      </c>
      <c r="L36" s="125">
        <v>0</v>
      </c>
      <c r="M36" s="134" t="s">
        <v>74</v>
      </c>
      <c r="N36" s="134"/>
      <c r="O36" s="135"/>
      <c r="P36" s="125" t="s">
        <v>33</v>
      </c>
      <c r="Q36" s="141"/>
      <c r="R36" s="139">
        <v>17</v>
      </c>
      <c r="S36" s="136" t="s">
        <v>206</v>
      </c>
      <c r="T36" s="125"/>
      <c r="U36" s="137"/>
      <c r="V36" s="137"/>
      <c r="W36" s="137"/>
      <c r="X36" s="138"/>
      <c r="Y36" s="137"/>
      <c r="Z36" s="137"/>
      <c r="AA36" s="125">
        <f t="shared" si="0"/>
        <v>60</v>
      </c>
      <c r="AB36" s="138"/>
      <c r="AC36" s="125"/>
      <c r="AE36" s="187" t="s">
        <v>455</v>
      </c>
      <c r="AF36" s="187" t="s">
        <v>456</v>
      </c>
    </row>
    <row r="37" spans="1:32" s="142" customFormat="1" ht="24" x14ac:dyDescent="0.25">
      <c r="A37" s="125">
        <f>SUBTOTAL(3,B$9:$B37)</f>
        <v>29</v>
      </c>
      <c r="B37" s="125" t="s">
        <v>6</v>
      </c>
      <c r="C37" s="139" t="s">
        <v>129</v>
      </c>
      <c r="D37" s="140" t="s">
        <v>149</v>
      </c>
      <c r="E37" s="133" t="s">
        <v>183</v>
      </c>
      <c r="F37" s="20" t="s">
        <v>178</v>
      </c>
      <c r="G37" s="20"/>
      <c r="H37" s="136" t="s">
        <v>129</v>
      </c>
      <c r="I37" s="136" t="str">
        <f t="shared" si="1"/>
        <v>3(1,2)</v>
      </c>
      <c r="J37" s="125" t="s">
        <v>113</v>
      </c>
      <c r="K37" s="125">
        <v>75</v>
      </c>
      <c r="L37" s="125">
        <v>0</v>
      </c>
      <c r="M37" s="134" t="s">
        <v>74</v>
      </c>
      <c r="N37" s="134"/>
      <c r="O37" s="135"/>
      <c r="P37" s="125" t="s">
        <v>33</v>
      </c>
      <c r="Q37" s="141"/>
      <c r="R37" s="139">
        <v>17</v>
      </c>
      <c r="S37" s="136" t="s">
        <v>206</v>
      </c>
      <c r="T37" s="125"/>
      <c r="U37" s="137"/>
      <c r="V37" s="137"/>
      <c r="W37" s="137"/>
      <c r="X37" s="138"/>
      <c r="Y37" s="137"/>
      <c r="Z37" s="137"/>
      <c r="AA37" s="125">
        <f t="shared" si="0"/>
        <v>75</v>
      </c>
      <c r="AB37" s="138"/>
      <c r="AC37" s="125"/>
      <c r="AE37" s="187" t="s">
        <v>458</v>
      </c>
      <c r="AF37" s="147" t="s">
        <v>457</v>
      </c>
    </row>
    <row r="38" spans="1:32" s="142" customFormat="1" ht="12" x14ac:dyDescent="0.25">
      <c r="A38" s="125">
        <f>SUBTOTAL(3,B$9:$B38)</f>
        <v>30</v>
      </c>
      <c r="B38" s="125" t="s">
        <v>6</v>
      </c>
      <c r="C38" s="139" t="s">
        <v>129</v>
      </c>
      <c r="D38" s="140" t="s">
        <v>149</v>
      </c>
      <c r="E38" s="133" t="s">
        <v>180</v>
      </c>
      <c r="F38" s="20" t="s">
        <v>179</v>
      </c>
      <c r="G38" s="20"/>
      <c r="H38" s="136" t="s">
        <v>129</v>
      </c>
      <c r="I38" s="136" t="str">
        <f t="shared" si="1"/>
        <v>2(2,0)</v>
      </c>
      <c r="J38" s="125" t="s">
        <v>130</v>
      </c>
      <c r="K38" s="125">
        <v>30</v>
      </c>
      <c r="L38" s="125">
        <v>0</v>
      </c>
      <c r="M38" s="134" t="s">
        <v>74</v>
      </c>
      <c r="N38" s="134"/>
      <c r="O38" s="135"/>
      <c r="P38" s="125" t="s">
        <v>33</v>
      </c>
      <c r="Q38" s="141"/>
      <c r="R38" s="139">
        <v>17</v>
      </c>
      <c r="S38" s="136" t="s">
        <v>206</v>
      </c>
      <c r="T38" s="125"/>
      <c r="U38" s="137"/>
      <c r="V38" s="137"/>
      <c r="W38" s="137"/>
      <c r="X38" s="138"/>
      <c r="Y38" s="137"/>
      <c r="Z38" s="137"/>
      <c r="AA38" s="125">
        <f t="shared" si="0"/>
        <v>30</v>
      </c>
      <c r="AB38" s="138"/>
      <c r="AC38" s="125"/>
      <c r="AE38" s="215" t="s">
        <v>7</v>
      </c>
      <c r="AF38" s="187"/>
    </row>
    <row r="39" spans="1:32" s="143" customFormat="1" ht="12" x14ac:dyDescent="0.25">
      <c r="A39" s="145">
        <f>SUBTOTAL(3,B$9:$B39)</f>
        <v>31</v>
      </c>
      <c r="B39" s="145" t="s">
        <v>6</v>
      </c>
      <c r="C39" s="146" t="s">
        <v>217</v>
      </c>
      <c r="D39" s="155" t="s">
        <v>136</v>
      </c>
      <c r="E39" s="147" t="s">
        <v>200</v>
      </c>
      <c r="F39" s="148" t="s">
        <v>184</v>
      </c>
      <c r="G39" s="145"/>
      <c r="H39" s="149" t="s">
        <v>129</v>
      </c>
      <c r="I39" s="149" t="str">
        <f t="shared" si="1"/>
        <v>4(2,2)</v>
      </c>
      <c r="J39" s="145" t="s">
        <v>118</v>
      </c>
      <c r="K39" s="145">
        <v>90</v>
      </c>
      <c r="L39" s="145">
        <v>0</v>
      </c>
      <c r="M39" s="145" t="s">
        <v>74</v>
      </c>
      <c r="N39" s="145"/>
      <c r="O39" s="154"/>
      <c r="P39" s="145" t="s">
        <v>33</v>
      </c>
      <c r="Q39" s="150"/>
      <c r="R39" s="146">
        <v>17</v>
      </c>
      <c r="S39" s="149" t="s">
        <v>207</v>
      </c>
      <c r="T39" s="145"/>
      <c r="U39" s="151"/>
      <c r="V39" s="151"/>
      <c r="W39" s="151"/>
      <c r="X39" s="152"/>
      <c r="Y39" s="151"/>
      <c r="Z39" s="151"/>
      <c r="AA39" s="125">
        <f t="shared" si="0"/>
        <v>90</v>
      </c>
      <c r="AB39" s="152"/>
      <c r="AC39" s="145"/>
      <c r="AE39" s="219" t="s">
        <v>459</v>
      </c>
      <c r="AF39" s="193"/>
    </row>
    <row r="40" spans="1:32" s="143" customFormat="1" ht="24" x14ac:dyDescent="0.25">
      <c r="A40" s="145">
        <f>SUBTOTAL(3,B$9:$B40)</f>
        <v>32</v>
      </c>
      <c r="B40" s="145" t="s">
        <v>6</v>
      </c>
      <c r="C40" s="146" t="s">
        <v>217</v>
      </c>
      <c r="D40" s="155" t="s">
        <v>136</v>
      </c>
      <c r="E40" s="147" t="s">
        <v>147</v>
      </c>
      <c r="F40" s="148" t="s">
        <v>186</v>
      </c>
      <c r="G40" s="145"/>
      <c r="H40" s="153" t="s">
        <v>129</v>
      </c>
      <c r="I40" s="149" t="str">
        <f t="shared" si="1"/>
        <v>4(3,1)</v>
      </c>
      <c r="J40" s="145" t="s">
        <v>112</v>
      </c>
      <c r="K40" s="145">
        <v>75</v>
      </c>
      <c r="L40" s="145">
        <v>0</v>
      </c>
      <c r="M40" s="145" t="s">
        <v>74</v>
      </c>
      <c r="N40" s="145"/>
      <c r="O40" s="154"/>
      <c r="P40" s="145" t="s">
        <v>33</v>
      </c>
      <c r="Q40" s="150"/>
      <c r="R40" s="146">
        <v>17</v>
      </c>
      <c r="S40" s="149" t="s">
        <v>207</v>
      </c>
      <c r="T40" s="145"/>
      <c r="U40" s="151"/>
      <c r="V40" s="151"/>
      <c r="W40" s="151"/>
      <c r="X40" s="152"/>
      <c r="Y40" s="151"/>
      <c r="Z40" s="151"/>
      <c r="AA40" s="125">
        <f t="shared" si="0"/>
        <v>75</v>
      </c>
      <c r="AB40" s="152"/>
      <c r="AC40" s="145"/>
      <c r="AE40" s="219" t="s">
        <v>460</v>
      </c>
      <c r="AF40" s="193"/>
    </row>
    <row r="41" spans="1:32" s="143" customFormat="1" ht="24" x14ac:dyDescent="0.25">
      <c r="A41" s="145">
        <f>SUBTOTAL(3,B$9:$B41)</f>
        <v>33</v>
      </c>
      <c r="B41" s="145" t="s">
        <v>6</v>
      </c>
      <c r="C41" s="146" t="s">
        <v>217</v>
      </c>
      <c r="D41" s="155" t="s">
        <v>136</v>
      </c>
      <c r="E41" s="147" t="s">
        <v>146</v>
      </c>
      <c r="F41" s="148" t="s">
        <v>187</v>
      </c>
      <c r="G41" s="145"/>
      <c r="H41" s="153" t="s">
        <v>129</v>
      </c>
      <c r="I41" s="149" t="str">
        <f t="shared" si="1"/>
        <v>3(2,1)</v>
      </c>
      <c r="J41" s="145" t="s">
        <v>111</v>
      </c>
      <c r="K41" s="145">
        <v>60</v>
      </c>
      <c r="L41" s="145">
        <v>0</v>
      </c>
      <c r="M41" s="145" t="s">
        <v>74</v>
      </c>
      <c r="N41" s="145"/>
      <c r="O41" s="154"/>
      <c r="P41" s="145" t="s">
        <v>33</v>
      </c>
      <c r="Q41" s="150"/>
      <c r="R41" s="146">
        <v>17</v>
      </c>
      <c r="S41" s="149" t="s">
        <v>207</v>
      </c>
      <c r="T41" s="145"/>
      <c r="U41" s="151"/>
      <c r="V41" s="151"/>
      <c r="W41" s="151"/>
      <c r="X41" s="152"/>
      <c r="Y41" s="151"/>
      <c r="Z41" s="151"/>
      <c r="AA41" s="125">
        <f t="shared" si="0"/>
        <v>60</v>
      </c>
      <c r="AB41" s="152"/>
      <c r="AC41" s="145"/>
      <c r="AE41" s="133" t="s">
        <v>443</v>
      </c>
      <c r="AF41" s="193"/>
    </row>
    <row r="42" spans="1:32" s="143" customFormat="1" ht="12" x14ac:dyDescent="0.25">
      <c r="A42" s="145">
        <f>SUBTOTAL(3,B$9:$B42)</f>
        <v>34</v>
      </c>
      <c r="B42" s="156" t="s">
        <v>6</v>
      </c>
      <c r="C42" s="146" t="s">
        <v>217</v>
      </c>
      <c r="D42" s="155" t="s">
        <v>136</v>
      </c>
      <c r="E42" s="147" t="s">
        <v>145</v>
      </c>
      <c r="F42" s="148" t="s">
        <v>188</v>
      </c>
      <c r="G42" s="145"/>
      <c r="H42" s="153" t="s">
        <v>129</v>
      </c>
      <c r="I42" s="149" t="str">
        <f t="shared" si="1"/>
        <v>3(1,2)</v>
      </c>
      <c r="J42" s="145" t="s">
        <v>113</v>
      </c>
      <c r="K42" s="145">
        <v>75</v>
      </c>
      <c r="L42" s="145">
        <v>0</v>
      </c>
      <c r="M42" s="145" t="s">
        <v>74</v>
      </c>
      <c r="N42" s="145"/>
      <c r="O42" s="154"/>
      <c r="P42" s="145" t="s">
        <v>33</v>
      </c>
      <c r="Q42" s="150"/>
      <c r="R42" s="146">
        <v>17</v>
      </c>
      <c r="S42" s="149" t="s">
        <v>207</v>
      </c>
      <c r="T42" s="145"/>
      <c r="U42" s="151"/>
      <c r="V42" s="151"/>
      <c r="W42" s="151"/>
      <c r="X42" s="152"/>
      <c r="Y42" s="151"/>
      <c r="Z42" s="151"/>
      <c r="AA42" s="125">
        <f t="shared" si="0"/>
        <v>75</v>
      </c>
      <c r="AB42" s="152"/>
      <c r="AC42" s="145"/>
      <c r="AE42" s="219" t="s">
        <v>461</v>
      </c>
      <c r="AF42" s="193"/>
    </row>
    <row r="43" spans="1:32" s="143" customFormat="1" ht="24" x14ac:dyDescent="0.25">
      <c r="A43" s="145">
        <f>SUBTOTAL(3,B$9:$B43)</f>
        <v>35</v>
      </c>
      <c r="B43" s="156" t="s">
        <v>6</v>
      </c>
      <c r="C43" s="146" t="s">
        <v>217</v>
      </c>
      <c r="D43" s="155" t="s">
        <v>136</v>
      </c>
      <c r="E43" s="147" t="s">
        <v>201</v>
      </c>
      <c r="F43" s="148" t="s">
        <v>189</v>
      </c>
      <c r="G43" s="145"/>
      <c r="H43" s="153" t="s">
        <v>129</v>
      </c>
      <c r="I43" s="149" t="str">
        <f t="shared" si="1"/>
        <v>3(1,2)</v>
      </c>
      <c r="J43" s="145" t="s">
        <v>113</v>
      </c>
      <c r="K43" s="145">
        <v>75</v>
      </c>
      <c r="L43" s="145">
        <v>0</v>
      </c>
      <c r="M43" s="145" t="s">
        <v>74</v>
      </c>
      <c r="N43" s="145"/>
      <c r="O43" s="154"/>
      <c r="P43" s="145" t="s">
        <v>33</v>
      </c>
      <c r="Q43" s="150"/>
      <c r="R43" s="146">
        <v>17</v>
      </c>
      <c r="S43" s="149" t="s">
        <v>207</v>
      </c>
      <c r="T43" s="145"/>
      <c r="U43" s="151"/>
      <c r="V43" s="151"/>
      <c r="W43" s="151"/>
      <c r="X43" s="152"/>
      <c r="Y43" s="151"/>
      <c r="Z43" s="151"/>
      <c r="AA43" s="125">
        <f t="shared" si="0"/>
        <v>75</v>
      </c>
      <c r="AB43" s="152"/>
      <c r="AC43" s="145"/>
      <c r="AE43" s="187" t="s">
        <v>454</v>
      </c>
      <c r="AF43" s="193"/>
    </row>
    <row r="44" spans="1:32" s="142" customFormat="1" ht="12" x14ac:dyDescent="0.25">
      <c r="A44" s="125">
        <f>SUBTOTAL(3,B$9:$B44)</f>
        <v>36</v>
      </c>
      <c r="B44" s="144" t="s">
        <v>6</v>
      </c>
      <c r="C44" s="139" t="s">
        <v>166</v>
      </c>
      <c r="D44" s="140" t="s">
        <v>166</v>
      </c>
      <c r="E44" s="133" t="s">
        <v>190</v>
      </c>
      <c r="F44" s="20" t="s">
        <v>191</v>
      </c>
      <c r="G44" s="125"/>
      <c r="H44" s="134" t="s">
        <v>129</v>
      </c>
      <c r="I44" s="136" t="str">
        <f t="shared" si="1"/>
        <v>3(2,1)</v>
      </c>
      <c r="J44" s="125" t="s">
        <v>111</v>
      </c>
      <c r="K44" s="125">
        <v>0</v>
      </c>
      <c r="L44" s="125">
        <v>60</v>
      </c>
      <c r="M44" s="125"/>
      <c r="N44" s="125" t="s">
        <v>74</v>
      </c>
      <c r="O44" s="125"/>
      <c r="P44" s="125" t="s">
        <v>33</v>
      </c>
      <c r="Q44" s="141"/>
      <c r="R44" s="139">
        <v>17</v>
      </c>
      <c r="S44" s="136" t="s">
        <v>208</v>
      </c>
      <c r="T44" s="125"/>
      <c r="U44" s="137"/>
      <c r="V44" s="137"/>
      <c r="W44" s="137"/>
      <c r="X44" s="138"/>
      <c r="Y44" s="137"/>
      <c r="Z44" s="137"/>
      <c r="AA44" s="125">
        <f t="shared" si="0"/>
        <v>60</v>
      </c>
      <c r="AB44" s="138"/>
      <c r="AC44" s="125"/>
      <c r="AE44" s="187" t="s">
        <v>464</v>
      </c>
      <c r="AF44" s="187" t="s">
        <v>452</v>
      </c>
    </row>
    <row r="45" spans="1:32" s="142" customFormat="1" ht="24" x14ac:dyDescent="0.25">
      <c r="A45" s="125">
        <f>SUBTOTAL(3,B$9:$B45)</f>
        <v>37</v>
      </c>
      <c r="B45" s="144" t="s">
        <v>6</v>
      </c>
      <c r="C45" s="139" t="s">
        <v>166</v>
      </c>
      <c r="D45" s="140" t="s">
        <v>166</v>
      </c>
      <c r="E45" s="133" t="s">
        <v>192</v>
      </c>
      <c r="F45" s="20" t="s">
        <v>193</v>
      </c>
      <c r="G45" s="125"/>
      <c r="H45" s="134" t="s">
        <v>129</v>
      </c>
      <c r="I45" s="136" t="str">
        <f t="shared" si="1"/>
        <v>2(0,2)</v>
      </c>
      <c r="J45" s="125" t="s">
        <v>120</v>
      </c>
      <c r="K45" s="125">
        <v>0</v>
      </c>
      <c r="L45" s="125">
        <v>90</v>
      </c>
      <c r="M45" s="125"/>
      <c r="N45" s="125"/>
      <c r="O45" s="125" t="s">
        <v>74</v>
      </c>
      <c r="P45" s="125" t="s">
        <v>33</v>
      </c>
      <c r="Q45" s="141"/>
      <c r="R45" s="139">
        <v>17</v>
      </c>
      <c r="S45" s="136" t="s">
        <v>208</v>
      </c>
      <c r="T45" s="125"/>
      <c r="U45" s="137"/>
      <c r="V45" s="137"/>
      <c r="W45" s="137"/>
      <c r="X45" s="138"/>
      <c r="Y45" s="137"/>
      <c r="Z45" s="137"/>
      <c r="AA45" s="125">
        <f t="shared" si="0"/>
        <v>90</v>
      </c>
      <c r="AB45" s="138"/>
      <c r="AC45" s="125"/>
      <c r="AE45" s="187" t="s">
        <v>459</v>
      </c>
      <c r="AF45" s="187"/>
    </row>
    <row r="46" spans="1:32" s="142" customFormat="1" ht="12" x14ac:dyDescent="0.25">
      <c r="A46" s="125">
        <f>SUBTOTAL(3,B$9:$B46)</f>
        <v>38</v>
      </c>
      <c r="B46" s="144" t="s">
        <v>6</v>
      </c>
      <c r="C46" s="139" t="s">
        <v>166</v>
      </c>
      <c r="D46" s="140" t="s">
        <v>166</v>
      </c>
      <c r="E46" s="133" t="s">
        <v>202</v>
      </c>
      <c r="F46" s="20" t="s">
        <v>194</v>
      </c>
      <c r="G46" s="125"/>
      <c r="H46" s="134" t="s">
        <v>129</v>
      </c>
      <c r="I46" s="136" t="str">
        <f t="shared" si="1"/>
        <v>2(1,1)</v>
      </c>
      <c r="J46" s="125" t="s">
        <v>110</v>
      </c>
      <c r="K46" s="125">
        <v>45</v>
      </c>
      <c r="L46" s="125">
        <v>0</v>
      </c>
      <c r="M46" s="125" t="s">
        <v>74</v>
      </c>
      <c r="N46" s="125"/>
      <c r="O46" s="125"/>
      <c r="P46" s="125" t="s">
        <v>33</v>
      </c>
      <c r="Q46" s="141"/>
      <c r="R46" s="139">
        <v>17</v>
      </c>
      <c r="S46" s="136" t="s">
        <v>208</v>
      </c>
      <c r="T46" s="125"/>
      <c r="U46" s="137"/>
      <c r="V46" s="137"/>
      <c r="W46" s="137"/>
      <c r="X46" s="138"/>
      <c r="Y46" s="137"/>
      <c r="Z46" s="137"/>
      <c r="AA46" s="125">
        <f t="shared" si="0"/>
        <v>45</v>
      </c>
      <c r="AB46" s="138"/>
      <c r="AC46" s="125"/>
      <c r="AE46" s="215" t="s">
        <v>7</v>
      </c>
      <c r="AF46" s="187" t="s">
        <v>452</v>
      </c>
    </row>
    <row r="47" spans="1:32" s="142" customFormat="1" ht="12" x14ac:dyDescent="0.25">
      <c r="A47" s="125">
        <f>SUBTOTAL(3,B$9:$B47)</f>
        <v>39</v>
      </c>
      <c r="B47" s="144" t="s">
        <v>6</v>
      </c>
      <c r="C47" s="139" t="s">
        <v>166</v>
      </c>
      <c r="D47" s="140" t="s">
        <v>166</v>
      </c>
      <c r="E47" s="133" t="s">
        <v>145</v>
      </c>
      <c r="F47" s="20" t="s">
        <v>196</v>
      </c>
      <c r="G47" s="125"/>
      <c r="H47" s="134" t="s">
        <v>129</v>
      </c>
      <c r="I47" s="136" t="str">
        <f t="shared" si="1"/>
        <v>3(2,1)</v>
      </c>
      <c r="J47" s="125" t="s">
        <v>111</v>
      </c>
      <c r="K47" s="125">
        <v>60</v>
      </c>
      <c r="L47" s="125">
        <v>0</v>
      </c>
      <c r="M47" s="125" t="s">
        <v>74</v>
      </c>
      <c r="N47" s="125"/>
      <c r="O47" s="125"/>
      <c r="P47" s="125" t="s">
        <v>33</v>
      </c>
      <c r="Q47" s="141"/>
      <c r="R47" s="139">
        <v>17</v>
      </c>
      <c r="S47" s="136" t="s">
        <v>208</v>
      </c>
      <c r="T47" s="125"/>
      <c r="U47" s="137"/>
      <c r="V47" s="137"/>
      <c r="W47" s="137"/>
      <c r="X47" s="138"/>
      <c r="Y47" s="137"/>
      <c r="Z47" s="137"/>
      <c r="AA47" s="125">
        <f t="shared" si="0"/>
        <v>60</v>
      </c>
      <c r="AB47" s="138"/>
      <c r="AC47" s="125"/>
      <c r="AE47" s="187" t="s">
        <v>462</v>
      </c>
      <c r="AF47" s="187"/>
    </row>
    <row r="48" spans="1:32" s="142" customFormat="1" ht="12" x14ac:dyDescent="0.25">
      <c r="A48" s="125">
        <f>SUBTOTAL(3,B$9:$B48)</f>
        <v>40</v>
      </c>
      <c r="B48" s="125" t="s">
        <v>6</v>
      </c>
      <c r="C48" s="139" t="s">
        <v>166</v>
      </c>
      <c r="D48" s="140" t="s">
        <v>166</v>
      </c>
      <c r="E48" s="133" t="s">
        <v>203</v>
      </c>
      <c r="F48" s="20" t="s">
        <v>197</v>
      </c>
      <c r="G48" s="125"/>
      <c r="H48" s="134" t="s">
        <v>129</v>
      </c>
      <c r="I48" s="136" t="str">
        <f t="shared" si="1"/>
        <v>3(2,1)</v>
      </c>
      <c r="J48" s="125" t="s">
        <v>111</v>
      </c>
      <c r="K48" s="125">
        <v>60</v>
      </c>
      <c r="L48" s="125">
        <v>0</v>
      </c>
      <c r="M48" s="125" t="s">
        <v>74</v>
      </c>
      <c r="N48" s="125"/>
      <c r="O48" s="125"/>
      <c r="P48" s="125" t="s">
        <v>33</v>
      </c>
      <c r="Q48" s="141"/>
      <c r="R48" s="139">
        <v>17</v>
      </c>
      <c r="S48" s="136" t="s">
        <v>208</v>
      </c>
      <c r="T48" s="125"/>
      <c r="U48" s="137"/>
      <c r="V48" s="137"/>
      <c r="W48" s="137"/>
      <c r="X48" s="138"/>
      <c r="Y48" s="137"/>
      <c r="Z48" s="137"/>
      <c r="AA48" s="125">
        <f t="shared" si="0"/>
        <v>60</v>
      </c>
      <c r="AB48" s="138"/>
      <c r="AC48" s="125"/>
      <c r="AE48" s="187" t="s">
        <v>465</v>
      </c>
      <c r="AF48" s="187" t="s">
        <v>452</v>
      </c>
    </row>
    <row r="49" spans="1:32" s="142" customFormat="1" ht="12" x14ac:dyDescent="0.25">
      <c r="A49" s="125">
        <f>SUBTOTAL(3,B$9:$B49)</f>
        <v>41</v>
      </c>
      <c r="B49" s="125" t="s">
        <v>6</v>
      </c>
      <c r="C49" s="139" t="s">
        <v>166</v>
      </c>
      <c r="D49" s="140" t="s">
        <v>166</v>
      </c>
      <c r="E49" s="133" t="s">
        <v>204</v>
      </c>
      <c r="F49" s="20" t="s">
        <v>198</v>
      </c>
      <c r="G49" s="125"/>
      <c r="H49" s="134" t="s">
        <v>129</v>
      </c>
      <c r="I49" s="136" t="str">
        <f t="shared" si="1"/>
        <v>4(2,2)</v>
      </c>
      <c r="J49" s="125" t="s">
        <v>118</v>
      </c>
      <c r="K49" s="125">
        <v>90</v>
      </c>
      <c r="L49" s="125">
        <v>0</v>
      </c>
      <c r="M49" s="125" t="s">
        <v>74</v>
      </c>
      <c r="N49" s="125"/>
      <c r="O49" s="125"/>
      <c r="P49" s="125" t="s">
        <v>33</v>
      </c>
      <c r="Q49" s="141"/>
      <c r="R49" s="139">
        <v>17</v>
      </c>
      <c r="S49" s="136" t="s">
        <v>208</v>
      </c>
      <c r="T49" s="125"/>
      <c r="U49" s="137"/>
      <c r="V49" s="137"/>
      <c r="W49" s="137"/>
      <c r="X49" s="138"/>
      <c r="Y49" s="137"/>
      <c r="Z49" s="137"/>
      <c r="AA49" s="125">
        <f t="shared" si="0"/>
        <v>90</v>
      </c>
      <c r="AB49" s="138"/>
      <c r="AC49" s="125"/>
      <c r="AE49" s="187" t="s">
        <v>446</v>
      </c>
      <c r="AF49" s="187"/>
    </row>
    <row r="50" spans="1:32" s="142" customFormat="1" ht="12" x14ac:dyDescent="0.25">
      <c r="A50" s="125">
        <f>SUBTOTAL(3,B$9:$B50)</f>
        <v>42</v>
      </c>
      <c r="B50" s="125" t="s">
        <v>6</v>
      </c>
      <c r="C50" s="139" t="s">
        <v>166</v>
      </c>
      <c r="D50" s="140" t="s">
        <v>166</v>
      </c>
      <c r="E50" s="133" t="s">
        <v>205</v>
      </c>
      <c r="F50" s="20" t="s">
        <v>199</v>
      </c>
      <c r="G50" s="125"/>
      <c r="H50" s="134" t="s">
        <v>129</v>
      </c>
      <c r="I50" s="136" t="str">
        <f t="shared" si="1"/>
        <v>2(1,1)</v>
      </c>
      <c r="J50" s="125" t="s">
        <v>110</v>
      </c>
      <c r="K50" s="125">
        <v>45</v>
      </c>
      <c r="L50" s="125">
        <v>0</v>
      </c>
      <c r="M50" s="125" t="s">
        <v>74</v>
      </c>
      <c r="N50" s="125"/>
      <c r="O50" s="125"/>
      <c r="P50" s="125" t="s">
        <v>33</v>
      </c>
      <c r="Q50" s="141"/>
      <c r="R50" s="139">
        <v>17</v>
      </c>
      <c r="S50" s="136" t="s">
        <v>208</v>
      </c>
      <c r="T50" s="125"/>
      <c r="U50" s="137"/>
      <c r="V50" s="137"/>
      <c r="W50" s="137"/>
      <c r="X50" s="138"/>
      <c r="Y50" s="137"/>
      <c r="Z50" s="137"/>
      <c r="AA50" s="125">
        <f t="shared" si="0"/>
        <v>45</v>
      </c>
      <c r="AB50" s="138"/>
      <c r="AC50" s="125"/>
      <c r="AE50" s="187" t="s">
        <v>466</v>
      </c>
      <c r="AF50" s="187"/>
    </row>
    <row r="51" spans="1:32" s="143" customFormat="1" ht="12" x14ac:dyDescent="0.25">
      <c r="A51" s="145">
        <f>SUBTOTAL(3,B$9:$B51)</f>
        <v>43</v>
      </c>
      <c r="B51" s="145" t="s">
        <v>6</v>
      </c>
      <c r="C51" s="146" t="s">
        <v>129</v>
      </c>
      <c r="D51" s="155" t="s">
        <v>149</v>
      </c>
      <c r="E51" s="147" t="s">
        <v>117</v>
      </c>
      <c r="F51" s="148" t="s">
        <v>209</v>
      </c>
      <c r="G51" s="145"/>
      <c r="H51" s="149" t="s">
        <v>129</v>
      </c>
      <c r="I51" s="149" t="str">
        <f t="shared" si="1"/>
        <v>8(0,8)</v>
      </c>
      <c r="J51" s="145" t="s">
        <v>128</v>
      </c>
      <c r="K51" s="145">
        <v>0</v>
      </c>
      <c r="L51" s="145">
        <v>360</v>
      </c>
      <c r="M51" s="153"/>
      <c r="N51" s="153"/>
      <c r="O51" s="145" t="s">
        <v>74</v>
      </c>
      <c r="P51" s="145" t="s">
        <v>33</v>
      </c>
      <c r="Q51" s="150"/>
      <c r="R51" s="146">
        <v>16</v>
      </c>
      <c r="S51" s="149" t="s">
        <v>215</v>
      </c>
      <c r="T51" s="145"/>
      <c r="U51" s="151"/>
      <c r="V51" s="151"/>
      <c r="W51" s="151"/>
      <c r="X51" s="152"/>
      <c r="Y51" s="151"/>
      <c r="Z51" s="151"/>
      <c r="AA51" s="125">
        <f t="shared" si="0"/>
        <v>360</v>
      </c>
      <c r="AB51" s="152"/>
      <c r="AC51" s="145"/>
      <c r="AE51" s="206" t="s">
        <v>7</v>
      </c>
      <c r="AF51" s="193"/>
    </row>
    <row r="52" spans="1:32" s="143" customFormat="1" ht="12" x14ac:dyDescent="0.25">
      <c r="A52" s="145">
        <f>SUBTOTAL(3,B$9:$B52)</f>
        <v>44</v>
      </c>
      <c r="B52" s="145" t="s">
        <v>6</v>
      </c>
      <c r="C52" s="146" t="s">
        <v>129</v>
      </c>
      <c r="D52" s="155" t="s">
        <v>149</v>
      </c>
      <c r="E52" s="147" t="s">
        <v>115</v>
      </c>
      <c r="F52" s="148" t="s">
        <v>210</v>
      </c>
      <c r="G52" s="145"/>
      <c r="H52" s="149" t="s">
        <v>129</v>
      </c>
      <c r="I52" s="149" t="str">
        <f t="shared" si="1"/>
        <v>5(0,5)</v>
      </c>
      <c r="J52" s="145" t="s">
        <v>114</v>
      </c>
      <c r="K52" s="145">
        <v>0</v>
      </c>
      <c r="L52" s="145">
        <v>225</v>
      </c>
      <c r="M52" s="145"/>
      <c r="N52" s="145" t="s">
        <v>74</v>
      </c>
      <c r="O52" s="145"/>
      <c r="P52" s="145" t="s">
        <v>30</v>
      </c>
      <c r="Q52" s="150"/>
      <c r="R52" s="146">
        <v>16</v>
      </c>
      <c r="S52" s="149" t="s">
        <v>215</v>
      </c>
      <c r="T52" s="145"/>
      <c r="U52" s="151"/>
      <c r="V52" s="151"/>
      <c r="W52" s="151"/>
      <c r="X52" s="152"/>
      <c r="Y52" s="151"/>
      <c r="Z52" s="151"/>
      <c r="AA52" s="125">
        <f t="shared" si="0"/>
        <v>225</v>
      </c>
      <c r="AB52" s="152"/>
      <c r="AC52" s="145"/>
      <c r="AE52" s="205" t="s">
        <v>435</v>
      </c>
      <c r="AF52" s="193"/>
    </row>
    <row r="53" spans="1:32" s="143" customFormat="1" ht="36" x14ac:dyDescent="0.25">
      <c r="A53" s="145">
        <f>SUBTOTAL(3,B$9:$B53)</f>
        <v>45</v>
      </c>
      <c r="B53" s="145" t="s">
        <v>6</v>
      </c>
      <c r="C53" s="146" t="s">
        <v>129</v>
      </c>
      <c r="D53" s="155" t="s">
        <v>149</v>
      </c>
      <c r="E53" s="147" t="s">
        <v>132</v>
      </c>
      <c r="F53" s="148" t="s">
        <v>211</v>
      </c>
      <c r="G53" s="145"/>
      <c r="H53" s="149" t="s">
        <v>129</v>
      </c>
      <c r="I53" s="149" t="str">
        <f t="shared" si="1"/>
        <v>3(1,2)</v>
      </c>
      <c r="J53" s="145" t="s">
        <v>113</v>
      </c>
      <c r="K53" s="145">
        <v>75</v>
      </c>
      <c r="L53" s="145">
        <v>0</v>
      </c>
      <c r="M53" s="145" t="s">
        <v>74</v>
      </c>
      <c r="N53" s="145"/>
      <c r="O53" s="145"/>
      <c r="P53" s="145" t="s">
        <v>30</v>
      </c>
      <c r="Q53" s="150"/>
      <c r="R53" s="146">
        <v>16</v>
      </c>
      <c r="S53" s="149" t="s">
        <v>215</v>
      </c>
      <c r="T53" s="145"/>
      <c r="U53" s="151"/>
      <c r="V53" s="151"/>
      <c r="W53" s="151"/>
      <c r="X53" s="152"/>
      <c r="Y53" s="151"/>
      <c r="Z53" s="151"/>
      <c r="AA53" s="125">
        <f t="shared" si="0"/>
        <v>75</v>
      </c>
      <c r="AB53" s="152"/>
      <c r="AC53" s="145"/>
      <c r="AE53" s="205" t="s">
        <v>437</v>
      </c>
      <c r="AF53" s="153" t="s">
        <v>441</v>
      </c>
    </row>
    <row r="54" spans="1:32" s="143" customFormat="1" ht="24" x14ac:dyDescent="0.25">
      <c r="A54" s="145">
        <f>SUBTOTAL(3,B$9:$B54)</f>
        <v>46</v>
      </c>
      <c r="B54" s="145" t="s">
        <v>6</v>
      </c>
      <c r="C54" s="146" t="s">
        <v>129</v>
      </c>
      <c r="D54" s="155" t="s">
        <v>149</v>
      </c>
      <c r="E54" s="147" t="s">
        <v>133</v>
      </c>
      <c r="F54" s="148" t="s">
        <v>212</v>
      </c>
      <c r="G54" s="145"/>
      <c r="H54" s="149" t="s">
        <v>129</v>
      </c>
      <c r="I54" s="149" t="str">
        <f t="shared" si="1"/>
        <v>3(1,2)</v>
      </c>
      <c r="J54" s="145" t="s">
        <v>113</v>
      </c>
      <c r="K54" s="145">
        <v>75</v>
      </c>
      <c r="L54" s="145">
        <v>0</v>
      </c>
      <c r="M54" s="145" t="s">
        <v>74</v>
      </c>
      <c r="N54" s="145"/>
      <c r="O54" s="145"/>
      <c r="P54" s="145" t="s">
        <v>30</v>
      </c>
      <c r="Q54" s="150"/>
      <c r="R54" s="146">
        <v>16</v>
      </c>
      <c r="S54" s="149" t="s">
        <v>215</v>
      </c>
      <c r="T54" s="145"/>
      <c r="U54" s="151"/>
      <c r="V54" s="151"/>
      <c r="W54" s="151"/>
      <c r="X54" s="152"/>
      <c r="Y54" s="151"/>
      <c r="Z54" s="151"/>
      <c r="AA54" s="125">
        <f t="shared" si="0"/>
        <v>75</v>
      </c>
      <c r="AB54" s="152"/>
      <c r="AC54" s="145"/>
      <c r="AE54" s="206" t="s">
        <v>7</v>
      </c>
      <c r="AF54" s="153" t="s">
        <v>441</v>
      </c>
    </row>
    <row r="55" spans="1:32" s="143" customFormat="1" ht="24" x14ac:dyDescent="0.25">
      <c r="A55" s="145">
        <f>SUBTOTAL(3,B$9:$B55)</f>
        <v>47</v>
      </c>
      <c r="B55" s="145" t="s">
        <v>6</v>
      </c>
      <c r="C55" s="146" t="s">
        <v>129</v>
      </c>
      <c r="D55" s="155" t="s">
        <v>149</v>
      </c>
      <c r="E55" s="147" t="s">
        <v>214</v>
      </c>
      <c r="F55" s="148" t="s">
        <v>213</v>
      </c>
      <c r="G55" s="145"/>
      <c r="H55" s="149" t="s">
        <v>129</v>
      </c>
      <c r="I55" s="149" t="str">
        <f t="shared" si="1"/>
        <v>2(1,1)</v>
      </c>
      <c r="J55" s="145" t="s">
        <v>110</v>
      </c>
      <c r="K55" s="145">
        <v>45</v>
      </c>
      <c r="L55" s="145">
        <v>0</v>
      </c>
      <c r="M55" s="145" t="s">
        <v>74</v>
      </c>
      <c r="N55" s="145"/>
      <c r="O55" s="145"/>
      <c r="P55" s="145" t="s">
        <v>30</v>
      </c>
      <c r="Q55" s="150"/>
      <c r="R55" s="146">
        <v>16</v>
      </c>
      <c r="S55" s="149" t="s">
        <v>215</v>
      </c>
      <c r="T55" s="145"/>
      <c r="U55" s="151"/>
      <c r="V55" s="151"/>
      <c r="W55" s="151"/>
      <c r="X55" s="152"/>
      <c r="Y55" s="151"/>
      <c r="Z55" s="151"/>
      <c r="AA55" s="125">
        <f t="shared" si="0"/>
        <v>45</v>
      </c>
      <c r="AB55" s="152"/>
      <c r="AC55" s="145"/>
      <c r="AE55" s="147" t="s">
        <v>453</v>
      </c>
      <c r="AF55" s="153" t="s">
        <v>441</v>
      </c>
    </row>
    <row r="56" spans="1:32" s="143" customFormat="1" ht="24" x14ac:dyDescent="0.25">
      <c r="A56" s="145">
        <f>SUBTOTAL(3,B$9:$B56)</f>
        <v>48</v>
      </c>
      <c r="B56" s="145" t="s">
        <v>6</v>
      </c>
      <c r="C56" s="146" t="s">
        <v>129</v>
      </c>
      <c r="D56" s="155" t="s">
        <v>149</v>
      </c>
      <c r="E56" s="147" t="s">
        <v>134</v>
      </c>
      <c r="F56" s="148" t="s">
        <v>135</v>
      </c>
      <c r="G56" s="145"/>
      <c r="H56" s="149" t="s">
        <v>129</v>
      </c>
      <c r="I56" s="149" t="str">
        <f t="shared" si="1"/>
        <v>3(1,2)</v>
      </c>
      <c r="J56" s="145" t="s">
        <v>113</v>
      </c>
      <c r="K56" s="145">
        <v>75</v>
      </c>
      <c r="L56" s="145">
        <v>0</v>
      </c>
      <c r="M56" s="145" t="s">
        <v>74</v>
      </c>
      <c r="N56" s="145"/>
      <c r="O56" s="145"/>
      <c r="P56" s="145" t="s">
        <v>30</v>
      </c>
      <c r="Q56" s="150"/>
      <c r="R56" s="146">
        <v>16</v>
      </c>
      <c r="S56" s="149" t="s">
        <v>215</v>
      </c>
      <c r="T56" s="145"/>
      <c r="U56" s="151"/>
      <c r="V56" s="151"/>
      <c r="W56" s="151"/>
      <c r="X56" s="152"/>
      <c r="Y56" s="151"/>
      <c r="Z56" s="151"/>
      <c r="AA56" s="125">
        <f t="shared" si="0"/>
        <v>75</v>
      </c>
      <c r="AB56" s="152"/>
      <c r="AC56" s="145"/>
      <c r="AE56" s="205" t="s">
        <v>436</v>
      </c>
      <c r="AF56" s="153" t="s">
        <v>441</v>
      </c>
    </row>
    <row r="57" spans="1:32" s="142" customFormat="1" ht="12" x14ac:dyDescent="0.25">
      <c r="A57" s="125">
        <f>SUBTOTAL(3,B$9:$B57)</f>
        <v>49</v>
      </c>
      <c r="B57" s="125" t="s">
        <v>6</v>
      </c>
      <c r="C57" s="139" t="s">
        <v>217</v>
      </c>
      <c r="D57" s="140" t="s">
        <v>136</v>
      </c>
      <c r="E57" s="133" t="s">
        <v>117</v>
      </c>
      <c r="F57" s="20" t="s">
        <v>218</v>
      </c>
      <c r="G57" s="125"/>
      <c r="H57" s="136" t="s">
        <v>129</v>
      </c>
      <c r="I57" s="136" t="str">
        <f t="shared" si="1"/>
        <v>6(0,6)</v>
      </c>
      <c r="J57" s="125" t="s">
        <v>131</v>
      </c>
      <c r="K57" s="125">
        <v>0</v>
      </c>
      <c r="L57" s="125">
        <v>270</v>
      </c>
      <c r="M57" s="134"/>
      <c r="N57" s="134"/>
      <c r="O57" s="125" t="s">
        <v>74</v>
      </c>
      <c r="P57" s="125" t="s">
        <v>33</v>
      </c>
      <c r="Q57" s="141"/>
      <c r="R57" s="139">
        <v>16</v>
      </c>
      <c r="S57" s="139" t="s">
        <v>228</v>
      </c>
      <c r="T57" s="125"/>
      <c r="U57" s="137"/>
      <c r="V57" s="137"/>
      <c r="W57" s="137"/>
      <c r="X57" s="138"/>
      <c r="Y57" s="137"/>
      <c r="Z57" s="137"/>
      <c r="AA57" s="125">
        <f t="shared" si="0"/>
        <v>270</v>
      </c>
      <c r="AB57" s="138"/>
      <c r="AC57" s="125"/>
      <c r="AE57" s="194" t="s">
        <v>7</v>
      </c>
      <c r="AF57" s="187"/>
    </row>
    <row r="58" spans="1:32" s="142" customFormat="1" ht="12" x14ac:dyDescent="0.25">
      <c r="A58" s="125">
        <f>SUBTOTAL(3,B$9:$B58)</f>
        <v>50</v>
      </c>
      <c r="B58" s="125" t="s">
        <v>6</v>
      </c>
      <c r="C58" s="139" t="s">
        <v>217</v>
      </c>
      <c r="D58" s="140" t="s">
        <v>136</v>
      </c>
      <c r="E58" s="133" t="s">
        <v>220</v>
      </c>
      <c r="F58" s="20" t="s">
        <v>219</v>
      </c>
      <c r="G58" s="135"/>
      <c r="H58" s="125" t="s">
        <v>129</v>
      </c>
      <c r="I58" s="136" t="str">
        <f t="shared" si="1"/>
        <v>3(2,1)</v>
      </c>
      <c r="J58" s="125" t="s">
        <v>111</v>
      </c>
      <c r="K58" s="125">
        <v>0</v>
      </c>
      <c r="L58" s="125">
        <v>60</v>
      </c>
      <c r="M58" s="134"/>
      <c r="N58" s="134" t="s">
        <v>74</v>
      </c>
      <c r="O58" s="135"/>
      <c r="P58" s="125" t="s">
        <v>30</v>
      </c>
      <c r="Q58" s="141"/>
      <c r="R58" s="139">
        <v>16</v>
      </c>
      <c r="S58" s="139" t="s">
        <v>228</v>
      </c>
      <c r="T58" s="125"/>
      <c r="U58" s="137"/>
      <c r="V58" s="137"/>
      <c r="W58" s="137"/>
      <c r="X58" s="138"/>
      <c r="Y58" s="137"/>
      <c r="Z58" s="137"/>
      <c r="AA58" s="125">
        <f t="shared" si="0"/>
        <v>60</v>
      </c>
      <c r="AB58" s="138"/>
      <c r="AC58" s="125"/>
      <c r="AE58" s="194" t="s">
        <v>7</v>
      </c>
      <c r="AF58" s="187"/>
    </row>
    <row r="59" spans="1:32" s="142" customFormat="1" ht="24" x14ac:dyDescent="0.25">
      <c r="A59" s="125">
        <f>SUBTOTAL(3,B$9:$B59)</f>
        <v>51</v>
      </c>
      <c r="B59" s="125" t="s">
        <v>6</v>
      </c>
      <c r="C59" s="139" t="s">
        <v>217</v>
      </c>
      <c r="D59" s="140" t="s">
        <v>136</v>
      </c>
      <c r="E59" s="133" t="s">
        <v>222</v>
      </c>
      <c r="F59" s="20" t="s">
        <v>221</v>
      </c>
      <c r="G59" s="135"/>
      <c r="H59" s="125" t="s">
        <v>129</v>
      </c>
      <c r="I59" s="136" t="str">
        <f t="shared" si="1"/>
        <v>3(2,1)</v>
      </c>
      <c r="J59" s="125" t="s">
        <v>111</v>
      </c>
      <c r="K59" s="125">
        <v>0</v>
      </c>
      <c r="L59" s="125">
        <v>60</v>
      </c>
      <c r="M59" s="134"/>
      <c r="N59" s="134" t="s">
        <v>74</v>
      </c>
      <c r="O59" s="135"/>
      <c r="P59" s="125" t="s">
        <v>30</v>
      </c>
      <c r="Q59" s="141"/>
      <c r="R59" s="139">
        <v>16</v>
      </c>
      <c r="S59" s="139" t="s">
        <v>228</v>
      </c>
      <c r="T59" s="125"/>
      <c r="U59" s="137"/>
      <c r="V59" s="137"/>
      <c r="W59" s="137"/>
      <c r="X59" s="138"/>
      <c r="Y59" s="137"/>
      <c r="Z59" s="137"/>
      <c r="AA59" s="125">
        <f t="shared" si="0"/>
        <v>60</v>
      </c>
      <c r="AB59" s="138"/>
      <c r="AC59" s="125"/>
      <c r="AE59" s="133" t="s">
        <v>438</v>
      </c>
      <c r="AF59" s="187"/>
    </row>
    <row r="60" spans="1:32" s="142" customFormat="1" ht="12" x14ac:dyDescent="0.25">
      <c r="A60" s="125">
        <f>SUBTOTAL(3,B$9:$B60)</f>
        <v>52</v>
      </c>
      <c r="B60" s="125" t="s">
        <v>6</v>
      </c>
      <c r="C60" s="139" t="s">
        <v>217</v>
      </c>
      <c r="D60" s="140" t="s">
        <v>136</v>
      </c>
      <c r="E60" s="133" t="s">
        <v>224</v>
      </c>
      <c r="F60" s="20" t="s">
        <v>223</v>
      </c>
      <c r="G60" s="135"/>
      <c r="H60" s="125" t="s">
        <v>129</v>
      </c>
      <c r="I60" s="136" t="str">
        <f t="shared" si="1"/>
        <v>3(2,1)</v>
      </c>
      <c r="J60" s="125" t="s">
        <v>111</v>
      </c>
      <c r="K60" s="125">
        <v>0</v>
      </c>
      <c r="L60" s="125">
        <v>60</v>
      </c>
      <c r="M60" s="134"/>
      <c r="N60" s="134" t="s">
        <v>74</v>
      </c>
      <c r="O60" s="135"/>
      <c r="P60" s="125" t="s">
        <v>30</v>
      </c>
      <c r="Q60" s="141"/>
      <c r="R60" s="139">
        <v>16</v>
      </c>
      <c r="S60" s="139" t="s">
        <v>228</v>
      </c>
      <c r="T60" s="125"/>
      <c r="U60" s="137"/>
      <c r="V60" s="137"/>
      <c r="W60" s="137"/>
      <c r="X60" s="138"/>
      <c r="Y60" s="137"/>
      <c r="Z60" s="137"/>
      <c r="AA60" s="125">
        <f t="shared" si="0"/>
        <v>60</v>
      </c>
      <c r="AB60" s="138"/>
      <c r="AC60" s="125"/>
      <c r="AE60" s="133" t="s">
        <v>439</v>
      </c>
      <c r="AF60" s="153" t="s">
        <v>440</v>
      </c>
    </row>
    <row r="61" spans="1:32" s="142" customFormat="1" ht="24" x14ac:dyDescent="0.25">
      <c r="A61" s="125">
        <f>SUBTOTAL(3,B$9:$B61)</f>
        <v>53</v>
      </c>
      <c r="B61" s="125" t="s">
        <v>6</v>
      </c>
      <c r="C61" s="139" t="s">
        <v>217</v>
      </c>
      <c r="D61" s="140" t="s">
        <v>136</v>
      </c>
      <c r="E61" s="133" t="s">
        <v>137</v>
      </c>
      <c r="F61" s="20" t="s">
        <v>225</v>
      </c>
      <c r="G61" s="135"/>
      <c r="H61" s="125" t="s">
        <v>129</v>
      </c>
      <c r="I61" s="136" t="str">
        <f t="shared" si="1"/>
        <v>3(2,1)</v>
      </c>
      <c r="J61" s="125" t="s">
        <v>111</v>
      </c>
      <c r="K61" s="125">
        <v>0</v>
      </c>
      <c r="L61" s="125">
        <v>60</v>
      </c>
      <c r="M61" s="134"/>
      <c r="N61" s="134" t="s">
        <v>74</v>
      </c>
      <c r="O61" s="135"/>
      <c r="P61" s="125" t="s">
        <v>33</v>
      </c>
      <c r="Q61" s="141"/>
      <c r="R61" s="139">
        <v>16</v>
      </c>
      <c r="S61" s="139" t="s">
        <v>228</v>
      </c>
      <c r="T61" s="125"/>
      <c r="U61" s="137"/>
      <c r="V61" s="137"/>
      <c r="W61" s="137"/>
      <c r="X61" s="138"/>
      <c r="Y61" s="137"/>
      <c r="Z61" s="137"/>
      <c r="AA61" s="125">
        <f t="shared" si="0"/>
        <v>60</v>
      </c>
      <c r="AB61" s="138"/>
      <c r="AC61" s="125"/>
      <c r="AE61" s="133" t="s">
        <v>442</v>
      </c>
      <c r="AF61" s="153" t="s">
        <v>440</v>
      </c>
    </row>
    <row r="62" spans="1:32" s="142" customFormat="1" ht="24" x14ac:dyDescent="0.25">
      <c r="A62" s="125">
        <f>SUBTOTAL(3,B$9:$B62)</f>
        <v>54</v>
      </c>
      <c r="B62" s="125" t="s">
        <v>6</v>
      </c>
      <c r="C62" s="139" t="s">
        <v>217</v>
      </c>
      <c r="D62" s="140" t="s">
        <v>136</v>
      </c>
      <c r="E62" s="133" t="s">
        <v>138</v>
      </c>
      <c r="F62" s="20" t="s">
        <v>226</v>
      </c>
      <c r="G62" s="135"/>
      <c r="H62" s="125" t="s">
        <v>129</v>
      </c>
      <c r="I62" s="136" t="str">
        <f t="shared" si="1"/>
        <v>2(1,1)</v>
      </c>
      <c r="J62" s="125" t="s">
        <v>110</v>
      </c>
      <c r="K62" s="125">
        <v>0</v>
      </c>
      <c r="L62" s="125">
        <v>45</v>
      </c>
      <c r="M62" s="134"/>
      <c r="N62" s="134" t="s">
        <v>74</v>
      </c>
      <c r="O62" s="135"/>
      <c r="P62" s="125" t="s">
        <v>33</v>
      </c>
      <c r="Q62" s="141"/>
      <c r="R62" s="139">
        <v>16</v>
      </c>
      <c r="S62" s="139" t="s">
        <v>228</v>
      </c>
      <c r="T62" s="125"/>
      <c r="U62" s="137"/>
      <c r="V62" s="137"/>
      <c r="W62" s="137"/>
      <c r="X62" s="138"/>
      <c r="Y62" s="137"/>
      <c r="Z62" s="137"/>
      <c r="AA62" s="125">
        <f t="shared" si="0"/>
        <v>45</v>
      </c>
      <c r="AB62" s="138"/>
      <c r="AC62" s="125"/>
      <c r="AE62" s="133" t="s">
        <v>443</v>
      </c>
      <c r="AF62" s="187"/>
    </row>
    <row r="63" spans="1:32" s="212" customFormat="1" ht="12" x14ac:dyDescent="0.25">
      <c r="A63" s="207">
        <f>SUBTOTAL(3,B$9:$B63)</f>
        <v>55</v>
      </c>
      <c r="B63" s="207" t="s">
        <v>6</v>
      </c>
      <c r="C63" s="208" t="s">
        <v>217</v>
      </c>
      <c r="D63" s="209" t="s">
        <v>136</v>
      </c>
      <c r="E63" s="210" t="s">
        <v>139</v>
      </c>
      <c r="F63" s="211" t="s">
        <v>227</v>
      </c>
      <c r="G63" s="154"/>
      <c r="H63" s="145" t="s">
        <v>129</v>
      </c>
      <c r="I63" s="149" t="str">
        <f t="shared" si="1"/>
        <v>5(3,2)</v>
      </c>
      <c r="J63" s="145" t="s">
        <v>116</v>
      </c>
      <c r="K63" s="145">
        <v>0</v>
      </c>
      <c r="L63" s="145">
        <v>105</v>
      </c>
      <c r="M63" s="153"/>
      <c r="N63" s="153" t="s">
        <v>74</v>
      </c>
      <c r="O63" s="154"/>
      <c r="P63" s="145"/>
      <c r="Q63" s="150"/>
      <c r="R63" s="146">
        <v>16</v>
      </c>
      <c r="S63" s="208" t="s">
        <v>228</v>
      </c>
      <c r="T63" s="207"/>
      <c r="U63" s="151"/>
      <c r="V63" s="151"/>
      <c r="W63" s="151"/>
      <c r="X63" s="152"/>
      <c r="Y63" s="151"/>
      <c r="Z63" s="151"/>
      <c r="AA63" s="207">
        <f t="shared" si="0"/>
        <v>105</v>
      </c>
      <c r="AB63" s="152"/>
      <c r="AC63" s="207"/>
      <c r="AE63" s="213" t="s">
        <v>7</v>
      </c>
      <c r="AF63" s="220"/>
    </row>
    <row r="64" spans="1:32" s="143" customFormat="1" ht="12" x14ac:dyDescent="0.25">
      <c r="A64" s="145">
        <f>SUBTOTAL(3,B$9:$B64)</f>
        <v>56</v>
      </c>
      <c r="B64" s="145" t="s">
        <v>6</v>
      </c>
      <c r="C64" s="146" t="s">
        <v>166</v>
      </c>
      <c r="D64" s="155" t="s">
        <v>166</v>
      </c>
      <c r="E64" s="147" t="s">
        <v>117</v>
      </c>
      <c r="F64" s="148" t="s">
        <v>229</v>
      </c>
      <c r="G64" s="154"/>
      <c r="H64" s="145" t="s">
        <v>129</v>
      </c>
      <c r="I64" s="149" t="str">
        <f t="shared" si="1"/>
        <v>8(0,8)</v>
      </c>
      <c r="J64" s="145" t="s">
        <v>128</v>
      </c>
      <c r="K64" s="145">
        <v>0</v>
      </c>
      <c r="L64" s="145">
        <v>360</v>
      </c>
      <c r="M64" s="153"/>
      <c r="N64" s="153"/>
      <c r="O64" s="145" t="s">
        <v>74</v>
      </c>
      <c r="P64" s="145" t="s">
        <v>33</v>
      </c>
      <c r="Q64" s="150"/>
      <c r="R64" s="146">
        <v>16</v>
      </c>
      <c r="S64" s="146" t="s">
        <v>245</v>
      </c>
      <c r="T64" s="145"/>
      <c r="U64" s="151"/>
      <c r="V64" s="151"/>
      <c r="W64" s="151"/>
      <c r="X64" s="152"/>
      <c r="Y64" s="151"/>
      <c r="Z64" s="151"/>
      <c r="AA64" s="125">
        <f t="shared" si="0"/>
        <v>360</v>
      </c>
      <c r="AB64" s="152"/>
      <c r="AC64" s="145"/>
      <c r="AE64" s="206" t="s">
        <v>7</v>
      </c>
      <c r="AF64" s="193"/>
    </row>
    <row r="65" spans="1:32" s="143" customFormat="1" ht="12" x14ac:dyDescent="0.25">
      <c r="A65" s="145">
        <f>SUBTOTAL(3,B$9:$B65)</f>
        <v>57</v>
      </c>
      <c r="B65" s="145" t="s">
        <v>6</v>
      </c>
      <c r="C65" s="146" t="s">
        <v>166</v>
      </c>
      <c r="D65" s="155" t="s">
        <v>166</v>
      </c>
      <c r="E65" s="147" t="s">
        <v>287</v>
      </c>
      <c r="F65" s="148" t="s">
        <v>230</v>
      </c>
      <c r="G65" s="154"/>
      <c r="H65" s="145" t="s">
        <v>129</v>
      </c>
      <c r="I65" s="149" t="str">
        <f t="shared" si="1"/>
        <v>3(1,2)</v>
      </c>
      <c r="J65" s="145" t="s">
        <v>113</v>
      </c>
      <c r="K65" s="145">
        <v>75</v>
      </c>
      <c r="L65" s="145">
        <v>0</v>
      </c>
      <c r="M65" s="153" t="s">
        <v>74</v>
      </c>
      <c r="N65" s="153"/>
      <c r="O65" s="154"/>
      <c r="P65" s="145" t="s">
        <v>33</v>
      </c>
      <c r="Q65" s="150"/>
      <c r="R65" s="146">
        <v>16</v>
      </c>
      <c r="S65" s="146" t="s">
        <v>245</v>
      </c>
      <c r="T65" s="145"/>
      <c r="U65" s="151"/>
      <c r="V65" s="151"/>
      <c r="W65" s="151"/>
      <c r="X65" s="152"/>
      <c r="Y65" s="151"/>
      <c r="Z65" s="151"/>
      <c r="AA65" s="125">
        <f t="shared" si="0"/>
        <v>75</v>
      </c>
      <c r="AB65" s="152"/>
      <c r="AC65" s="145"/>
      <c r="AE65" s="206" t="s">
        <v>7</v>
      </c>
      <c r="AF65" s="193" t="s">
        <v>445</v>
      </c>
    </row>
    <row r="66" spans="1:32" s="143" customFormat="1" ht="12" x14ac:dyDescent="0.25">
      <c r="A66" s="145">
        <f>SUBTOTAL(3,B$9:$B66)</f>
        <v>58</v>
      </c>
      <c r="B66" s="145" t="s">
        <v>6</v>
      </c>
      <c r="C66" s="146" t="s">
        <v>166</v>
      </c>
      <c r="D66" s="155" t="s">
        <v>166</v>
      </c>
      <c r="E66" s="147" t="s">
        <v>139</v>
      </c>
      <c r="F66" s="148" t="s">
        <v>231</v>
      </c>
      <c r="G66" s="154"/>
      <c r="H66" s="145" t="s">
        <v>129</v>
      </c>
      <c r="I66" s="149" t="str">
        <f t="shared" si="1"/>
        <v>5(0,5)</v>
      </c>
      <c r="J66" s="145" t="s">
        <v>114</v>
      </c>
      <c r="K66" s="145">
        <v>0</v>
      </c>
      <c r="L66" s="145">
        <v>225</v>
      </c>
      <c r="M66" s="153"/>
      <c r="N66" s="153" t="s">
        <v>74</v>
      </c>
      <c r="O66" s="154"/>
      <c r="P66" s="145"/>
      <c r="Q66" s="150"/>
      <c r="R66" s="146">
        <v>16</v>
      </c>
      <c r="S66" s="146" t="s">
        <v>245</v>
      </c>
      <c r="T66" s="145"/>
      <c r="U66" s="151"/>
      <c r="V66" s="151"/>
      <c r="W66" s="151"/>
      <c r="X66" s="152"/>
      <c r="Y66" s="151"/>
      <c r="Z66" s="151"/>
      <c r="AA66" s="125">
        <f t="shared" si="0"/>
        <v>225</v>
      </c>
      <c r="AB66" s="152"/>
      <c r="AC66" s="145"/>
      <c r="AE66" s="147" t="s">
        <v>444</v>
      </c>
      <c r="AF66" s="193"/>
    </row>
    <row r="67" spans="1:32" s="143" customFormat="1" ht="24" x14ac:dyDescent="0.25">
      <c r="A67" s="145">
        <f>SUBTOTAL(3,B$9:$B67)</f>
        <v>59</v>
      </c>
      <c r="B67" s="145" t="s">
        <v>6</v>
      </c>
      <c r="C67" s="146" t="s">
        <v>166</v>
      </c>
      <c r="D67" s="155" t="s">
        <v>166</v>
      </c>
      <c r="E67" s="147" t="s">
        <v>233</v>
      </c>
      <c r="F67" s="148" t="s">
        <v>232</v>
      </c>
      <c r="G67" s="154"/>
      <c r="H67" s="145" t="s">
        <v>129</v>
      </c>
      <c r="I67" s="149" t="str">
        <f t="shared" si="1"/>
        <v>2(0,2)</v>
      </c>
      <c r="J67" s="145" t="s">
        <v>120</v>
      </c>
      <c r="K67" s="145">
        <v>0</v>
      </c>
      <c r="L67" s="145">
        <v>90</v>
      </c>
      <c r="M67" s="153"/>
      <c r="N67" s="153" t="s">
        <v>74</v>
      </c>
      <c r="O67" s="154"/>
      <c r="P67" s="145" t="s">
        <v>33</v>
      </c>
      <c r="Q67" s="150"/>
      <c r="R67" s="146">
        <v>16</v>
      </c>
      <c r="S67" s="146" t="s">
        <v>245</v>
      </c>
      <c r="T67" s="145"/>
      <c r="U67" s="151"/>
      <c r="V67" s="151"/>
      <c r="W67" s="151"/>
      <c r="X67" s="152"/>
      <c r="Y67" s="151"/>
      <c r="Z67" s="151"/>
      <c r="AA67" s="125">
        <f t="shared" si="0"/>
        <v>90</v>
      </c>
      <c r="AB67" s="152"/>
      <c r="AC67" s="145"/>
      <c r="AE67" s="206" t="s">
        <v>7</v>
      </c>
      <c r="AF67" s="193" t="s">
        <v>445</v>
      </c>
    </row>
    <row r="68" spans="1:32" s="143" customFormat="1" ht="24" x14ac:dyDescent="0.25">
      <c r="A68" s="145">
        <f>SUBTOTAL(3,B$9:$B68)</f>
        <v>60</v>
      </c>
      <c r="B68" s="145" t="s">
        <v>6</v>
      </c>
      <c r="C68" s="146" t="s">
        <v>166</v>
      </c>
      <c r="D68" s="155" t="s">
        <v>166</v>
      </c>
      <c r="E68" s="147" t="s">
        <v>235</v>
      </c>
      <c r="F68" s="148" t="s">
        <v>234</v>
      </c>
      <c r="G68" s="154"/>
      <c r="H68" s="145" t="s">
        <v>129</v>
      </c>
      <c r="I68" s="149" t="str">
        <f t="shared" si="1"/>
        <v>3(0,3)</v>
      </c>
      <c r="J68" s="145" t="s">
        <v>119</v>
      </c>
      <c r="K68" s="145">
        <v>0</v>
      </c>
      <c r="L68" s="145">
        <v>135</v>
      </c>
      <c r="M68" s="153"/>
      <c r="N68" s="153" t="s">
        <v>74</v>
      </c>
      <c r="O68" s="154"/>
      <c r="P68" s="145" t="s">
        <v>33</v>
      </c>
      <c r="Q68" s="150"/>
      <c r="R68" s="146">
        <v>16</v>
      </c>
      <c r="S68" s="146" t="s">
        <v>245</v>
      </c>
      <c r="T68" s="145"/>
      <c r="U68" s="151"/>
      <c r="V68" s="151"/>
      <c r="W68" s="151"/>
      <c r="X68" s="152"/>
      <c r="Y68" s="151"/>
      <c r="Z68" s="151"/>
      <c r="AA68" s="125">
        <f t="shared" si="0"/>
        <v>135</v>
      </c>
      <c r="AB68" s="152"/>
      <c r="AC68" s="145"/>
      <c r="AE68" s="147" t="s">
        <v>446</v>
      </c>
      <c r="AF68" s="193" t="s">
        <v>445</v>
      </c>
    </row>
    <row r="69" spans="1:32" s="142" customFormat="1" ht="12" x14ac:dyDescent="0.25">
      <c r="A69" s="125">
        <f>SUBTOTAL(3,B$9:$B69)</f>
        <v>61</v>
      </c>
      <c r="B69" s="125" t="s">
        <v>30</v>
      </c>
      <c r="C69" s="139" t="s">
        <v>244</v>
      </c>
      <c r="D69" s="139" t="s">
        <v>244</v>
      </c>
      <c r="E69" s="133" t="s">
        <v>237</v>
      </c>
      <c r="F69" s="20" t="s">
        <v>236</v>
      </c>
      <c r="G69" s="135"/>
      <c r="H69" s="125" t="s">
        <v>129</v>
      </c>
      <c r="I69" s="136" t="str">
        <f t="shared" si="1"/>
        <v>3(1,2)</v>
      </c>
      <c r="J69" s="125" t="s">
        <v>113</v>
      </c>
      <c r="K69" s="125">
        <v>0</v>
      </c>
      <c r="L69" s="125">
        <v>75</v>
      </c>
      <c r="M69" s="134"/>
      <c r="N69" s="134" t="s">
        <v>74</v>
      </c>
      <c r="O69" s="135"/>
      <c r="P69" s="125" t="s">
        <v>33</v>
      </c>
      <c r="Q69" s="141"/>
      <c r="R69" s="139">
        <v>27</v>
      </c>
      <c r="S69" s="136" t="s">
        <v>246</v>
      </c>
      <c r="T69" s="125"/>
      <c r="U69" s="137"/>
      <c r="V69" s="137"/>
      <c r="W69" s="137"/>
      <c r="X69" s="138"/>
      <c r="Y69" s="137"/>
      <c r="Z69" s="137"/>
      <c r="AA69" s="125">
        <f t="shared" si="0"/>
        <v>75</v>
      </c>
      <c r="AB69" s="138"/>
      <c r="AC69" s="136" t="s">
        <v>295</v>
      </c>
      <c r="AD69" s="136" t="s">
        <v>248</v>
      </c>
      <c r="AE69" s="184" t="s">
        <v>467</v>
      </c>
      <c r="AF69" s="187"/>
    </row>
    <row r="70" spans="1:32" s="142" customFormat="1" ht="12" x14ac:dyDescent="0.25">
      <c r="A70" s="125">
        <f>SUBTOTAL(3,B$9:$B70)</f>
        <v>62</v>
      </c>
      <c r="B70" s="125" t="s">
        <v>30</v>
      </c>
      <c r="C70" s="139" t="s">
        <v>244</v>
      </c>
      <c r="D70" s="139" t="s">
        <v>244</v>
      </c>
      <c r="E70" s="133" t="s">
        <v>151</v>
      </c>
      <c r="F70" s="20" t="s">
        <v>238</v>
      </c>
      <c r="G70" s="135"/>
      <c r="H70" s="125" t="s">
        <v>129</v>
      </c>
      <c r="I70" s="136" t="str">
        <f t="shared" si="1"/>
        <v>3(2,1)</v>
      </c>
      <c r="J70" s="125" t="s">
        <v>111</v>
      </c>
      <c r="K70" s="125">
        <v>0</v>
      </c>
      <c r="L70" s="125">
        <v>60</v>
      </c>
      <c r="M70" s="134"/>
      <c r="N70" s="134" t="s">
        <v>74</v>
      </c>
      <c r="O70" s="135"/>
      <c r="P70" s="125" t="s">
        <v>33</v>
      </c>
      <c r="Q70" s="141"/>
      <c r="R70" s="139">
        <v>27</v>
      </c>
      <c r="S70" s="136" t="s">
        <v>246</v>
      </c>
      <c r="T70" s="125"/>
      <c r="U70" s="137"/>
      <c r="V70" s="137"/>
      <c r="W70" s="137"/>
      <c r="X70" s="138"/>
      <c r="Y70" s="137"/>
      <c r="Z70" s="137"/>
      <c r="AA70" s="125">
        <f t="shared" si="0"/>
        <v>60</v>
      </c>
      <c r="AB70" s="138"/>
      <c r="AC70" s="125" t="s">
        <v>295</v>
      </c>
      <c r="AE70" s="133" t="s">
        <v>447</v>
      </c>
      <c r="AF70" s="187"/>
    </row>
    <row r="71" spans="1:32" s="142" customFormat="1" ht="12" x14ac:dyDescent="0.25">
      <c r="A71" s="125">
        <f>SUBTOTAL(3,B$9:$B71)</f>
        <v>63</v>
      </c>
      <c r="B71" s="125" t="s">
        <v>30</v>
      </c>
      <c r="C71" s="139" t="s">
        <v>244</v>
      </c>
      <c r="D71" s="139" t="s">
        <v>244</v>
      </c>
      <c r="E71" s="133" t="s">
        <v>149</v>
      </c>
      <c r="F71" s="20" t="s">
        <v>239</v>
      </c>
      <c r="G71" s="135"/>
      <c r="H71" s="125" t="s">
        <v>129</v>
      </c>
      <c r="I71" s="136" t="str">
        <f t="shared" si="1"/>
        <v>4(2,2)</v>
      </c>
      <c r="J71" s="125" t="s">
        <v>118</v>
      </c>
      <c r="K71" s="125">
        <v>90</v>
      </c>
      <c r="L71" s="125">
        <v>0</v>
      </c>
      <c r="M71" s="134" t="s">
        <v>74</v>
      </c>
      <c r="N71" s="134"/>
      <c r="O71" s="135"/>
      <c r="P71" s="125" t="s">
        <v>33</v>
      </c>
      <c r="Q71" s="141"/>
      <c r="R71" s="139">
        <v>27</v>
      </c>
      <c r="S71" s="136" t="s">
        <v>246</v>
      </c>
      <c r="T71" s="125"/>
      <c r="U71" s="137"/>
      <c r="V71" s="137"/>
      <c r="W71" s="137"/>
      <c r="X71" s="138"/>
      <c r="Y71" s="137"/>
      <c r="Z71" s="137"/>
      <c r="AA71" s="125">
        <f t="shared" si="0"/>
        <v>90</v>
      </c>
      <c r="AB71" s="138"/>
      <c r="AC71" s="125" t="s">
        <v>295</v>
      </c>
      <c r="AE71" s="194" t="s">
        <v>7</v>
      </c>
      <c r="AF71" s="187"/>
    </row>
    <row r="72" spans="1:32" s="142" customFormat="1" ht="12" x14ac:dyDescent="0.25">
      <c r="A72" s="125">
        <f>SUBTOTAL(3,B$9:$B72)</f>
        <v>64</v>
      </c>
      <c r="B72" s="125" t="s">
        <v>30</v>
      </c>
      <c r="C72" s="139" t="s">
        <v>244</v>
      </c>
      <c r="D72" s="139" t="s">
        <v>244</v>
      </c>
      <c r="E72" s="133" t="s">
        <v>107</v>
      </c>
      <c r="F72" s="20" t="s">
        <v>240</v>
      </c>
      <c r="G72" s="135"/>
      <c r="H72" s="125" t="s">
        <v>36</v>
      </c>
      <c r="I72" s="136" t="str">
        <f t="shared" si="1"/>
        <v>3(0,3)</v>
      </c>
      <c r="J72" s="125" t="s">
        <v>119</v>
      </c>
      <c r="K72" s="125">
        <v>90</v>
      </c>
      <c r="L72" s="125">
        <v>0</v>
      </c>
      <c r="M72" s="134" t="s">
        <v>74</v>
      </c>
      <c r="N72" s="134"/>
      <c r="O72" s="135"/>
      <c r="P72" s="125" t="s">
        <v>33</v>
      </c>
      <c r="Q72" s="141"/>
      <c r="R72" s="139">
        <v>27</v>
      </c>
      <c r="S72" s="136" t="s">
        <v>246</v>
      </c>
      <c r="T72" s="125"/>
      <c r="U72" s="137"/>
      <c r="V72" s="137"/>
      <c r="W72" s="137"/>
      <c r="X72" s="138"/>
      <c r="Y72" s="137"/>
      <c r="Z72" s="137"/>
      <c r="AA72" s="125">
        <f t="shared" si="0"/>
        <v>90</v>
      </c>
      <c r="AB72" s="138"/>
      <c r="AC72" s="125" t="s">
        <v>295</v>
      </c>
      <c r="AE72" s="194" t="s">
        <v>7</v>
      </c>
      <c r="AF72" s="187"/>
    </row>
    <row r="73" spans="1:32" s="142" customFormat="1" ht="12" x14ac:dyDescent="0.25">
      <c r="A73" s="125">
        <f>SUBTOTAL(3,B$9:$B73)</f>
        <v>65</v>
      </c>
      <c r="B73" s="125" t="s">
        <v>30</v>
      </c>
      <c r="C73" s="139" t="s">
        <v>244</v>
      </c>
      <c r="D73" s="139" t="s">
        <v>244</v>
      </c>
      <c r="E73" s="133" t="s">
        <v>124</v>
      </c>
      <c r="F73" s="20" t="s">
        <v>242</v>
      </c>
      <c r="G73" s="135"/>
      <c r="H73" s="125" t="s">
        <v>129</v>
      </c>
      <c r="I73" s="136" t="str">
        <f t="shared" si="1"/>
        <v>2(1,1)</v>
      </c>
      <c r="J73" s="125" t="s">
        <v>110</v>
      </c>
      <c r="K73" s="125">
        <v>45</v>
      </c>
      <c r="L73" s="125">
        <v>0</v>
      </c>
      <c r="M73" s="134" t="s">
        <v>74</v>
      </c>
      <c r="N73" s="134"/>
      <c r="O73" s="135"/>
      <c r="P73" s="125" t="s">
        <v>33</v>
      </c>
      <c r="Q73" s="141"/>
      <c r="R73" s="139">
        <v>27</v>
      </c>
      <c r="S73" s="136" t="s">
        <v>246</v>
      </c>
      <c r="T73" s="125"/>
      <c r="U73" s="137"/>
      <c r="V73" s="137"/>
      <c r="W73" s="137"/>
      <c r="X73" s="138"/>
      <c r="Y73" s="137"/>
      <c r="Z73" s="137"/>
      <c r="AA73" s="125">
        <f t="shared" ref="AA73:AA104" si="2">K73+L73</f>
        <v>45</v>
      </c>
      <c r="AB73" s="138"/>
      <c r="AC73" s="125" t="s">
        <v>295</v>
      </c>
      <c r="AE73" s="133" t="s">
        <v>447</v>
      </c>
      <c r="AF73" s="187"/>
    </row>
    <row r="74" spans="1:32" s="142" customFormat="1" ht="24" x14ac:dyDescent="0.25">
      <c r="A74" s="125">
        <f>SUBTOTAL(3,B$9:$B74)</f>
        <v>66</v>
      </c>
      <c r="B74" s="125" t="s">
        <v>30</v>
      </c>
      <c r="C74" s="139" t="s">
        <v>244</v>
      </c>
      <c r="D74" s="139" t="s">
        <v>244</v>
      </c>
      <c r="E74" s="133" t="s">
        <v>247</v>
      </c>
      <c r="F74" s="20" t="s">
        <v>243</v>
      </c>
      <c r="G74" s="135"/>
      <c r="H74" s="125" t="s">
        <v>123</v>
      </c>
      <c r="I74" s="136" t="str">
        <f t="shared" si="1"/>
        <v>2(1,1)</v>
      </c>
      <c r="J74" s="125" t="s">
        <v>110</v>
      </c>
      <c r="K74" s="125">
        <v>45</v>
      </c>
      <c r="L74" s="125">
        <v>0</v>
      </c>
      <c r="M74" s="134" t="s">
        <v>74</v>
      </c>
      <c r="N74" s="134"/>
      <c r="O74" s="135"/>
      <c r="P74" s="125" t="s">
        <v>33</v>
      </c>
      <c r="Q74" s="141"/>
      <c r="R74" s="139">
        <v>27</v>
      </c>
      <c r="S74" s="136" t="s">
        <v>246</v>
      </c>
      <c r="T74" s="125"/>
      <c r="U74" s="137"/>
      <c r="V74" s="137"/>
      <c r="W74" s="137"/>
      <c r="X74" s="138"/>
      <c r="Y74" s="137"/>
      <c r="Z74" s="137"/>
      <c r="AA74" s="125">
        <f t="shared" si="2"/>
        <v>45</v>
      </c>
      <c r="AB74" s="138"/>
      <c r="AC74" s="125" t="s">
        <v>295</v>
      </c>
      <c r="AE74" s="194" t="s">
        <v>7</v>
      </c>
      <c r="AF74" s="187"/>
    </row>
    <row r="75" spans="1:32" s="143" customFormat="1" ht="12" x14ac:dyDescent="0.25">
      <c r="A75" s="125">
        <f>SUBTOTAL(3,B$9:$B75)</f>
        <v>67</v>
      </c>
      <c r="B75" s="125" t="s">
        <v>30</v>
      </c>
      <c r="C75" s="139" t="s">
        <v>253</v>
      </c>
      <c r="D75" s="139" t="s">
        <v>253</v>
      </c>
      <c r="E75" s="133" t="s">
        <v>237</v>
      </c>
      <c r="F75" s="20" t="s">
        <v>249</v>
      </c>
      <c r="G75" s="135"/>
      <c r="H75" s="136" t="s">
        <v>129</v>
      </c>
      <c r="I75" s="136" t="str">
        <f t="shared" ref="I75:I105" si="3">LEFT(J75,5)&amp;RIGHT(J76,1)</f>
        <v>3(1,2)</v>
      </c>
      <c r="J75" s="125" t="s">
        <v>113</v>
      </c>
      <c r="K75" s="125">
        <v>0</v>
      </c>
      <c r="L75" s="125">
        <v>75</v>
      </c>
      <c r="M75" s="125"/>
      <c r="N75" s="125" t="s">
        <v>74</v>
      </c>
      <c r="O75" s="125"/>
      <c r="P75" s="125" t="s">
        <v>33</v>
      </c>
      <c r="Q75" s="141"/>
      <c r="R75" s="139">
        <v>27</v>
      </c>
      <c r="S75" s="136" t="s">
        <v>254</v>
      </c>
      <c r="T75" s="125"/>
      <c r="U75" s="137"/>
      <c r="V75" s="137"/>
      <c r="W75" s="137"/>
      <c r="X75" s="138"/>
      <c r="Y75" s="137"/>
      <c r="Z75" s="137"/>
      <c r="AA75" s="125">
        <f t="shared" si="2"/>
        <v>75</v>
      </c>
      <c r="AB75" s="138"/>
      <c r="AC75" s="125" t="s">
        <v>295</v>
      </c>
      <c r="AE75" s="133" t="s">
        <v>467</v>
      </c>
      <c r="AF75" s="193"/>
    </row>
    <row r="76" spans="1:32" s="143" customFormat="1" ht="12" x14ac:dyDescent="0.25">
      <c r="A76" s="125">
        <f>SUBTOTAL(3,B$9:$B76)</f>
        <v>68</v>
      </c>
      <c r="B76" s="125" t="s">
        <v>30</v>
      </c>
      <c r="C76" s="139" t="s">
        <v>253</v>
      </c>
      <c r="D76" s="139" t="s">
        <v>253</v>
      </c>
      <c r="E76" s="133" t="s">
        <v>251</v>
      </c>
      <c r="F76" s="20" t="s">
        <v>250</v>
      </c>
      <c r="G76" s="135"/>
      <c r="H76" s="136" t="s">
        <v>129</v>
      </c>
      <c r="I76" s="136" t="str">
        <f t="shared" si="3"/>
        <v>3(1,2)</v>
      </c>
      <c r="J76" s="125" t="s">
        <v>113</v>
      </c>
      <c r="K76" s="125">
        <v>0</v>
      </c>
      <c r="L76" s="125">
        <v>75</v>
      </c>
      <c r="M76" s="125"/>
      <c r="N76" s="125" t="s">
        <v>74</v>
      </c>
      <c r="O76" s="125"/>
      <c r="P76" s="125" t="s">
        <v>33</v>
      </c>
      <c r="Q76" s="141"/>
      <c r="R76" s="139">
        <v>27</v>
      </c>
      <c r="S76" s="136" t="s">
        <v>254</v>
      </c>
      <c r="T76" s="125"/>
      <c r="U76" s="137"/>
      <c r="V76" s="137"/>
      <c r="W76" s="137"/>
      <c r="X76" s="138"/>
      <c r="Y76" s="137"/>
      <c r="Z76" s="137"/>
      <c r="AA76" s="125">
        <f t="shared" si="2"/>
        <v>75</v>
      </c>
      <c r="AB76" s="138"/>
      <c r="AC76" s="125" t="s">
        <v>295</v>
      </c>
      <c r="AE76" s="133" t="s">
        <v>463</v>
      </c>
      <c r="AF76" s="193"/>
    </row>
    <row r="77" spans="1:32" s="143" customFormat="1" ht="12" x14ac:dyDescent="0.25">
      <c r="A77" s="125">
        <f>SUBTOTAL(3,B$9:$B77)</f>
        <v>69</v>
      </c>
      <c r="B77" s="125" t="s">
        <v>30</v>
      </c>
      <c r="C77" s="139" t="s">
        <v>253</v>
      </c>
      <c r="D77" s="139" t="s">
        <v>253</v>
      </c>
      <c r="E77" s="133" t="s">
        <v>158</v>
      </c>
      <c r="F77" s="20" t="s">
        <v>252</v>
      </c>
      <c r="G77" s="135"/>
      <c r="H77" s="136" t="s">
        <v>129</v>
      </c>
      <c r="I77" s="136" t="str">
        <f t="shared" si="3"/>
        <v>3(2,1)</v>
      </c>
      <c r="J77" s="125" t="s">
        <v>111</v>
      </c>
      <c r="K77" s="125">
        <v>60</v>
      </c>
      <c r="L77" s="125">
        <v>0</v>
      </c>
      <c r="M77" s="125" t="s">
        <v>74</v>
      </c>
      <c r="N77" s="125"/>
      <c r="O77" s="125"/>
      <c r="P77" s="125" t="s">
        <v>33</v>
      </c>
      <c r="Q77" s="141"/>
      <c r="R77" s="139">
        <v>27</v>
      </c>
      <c r="S77" s="136" t="s">
        <v>254</v>
      </c>
      <c r="T77" s="125"/>
      <c r="U77" s="137"/>
      <c r="V77" s="137"/>
      <c r="W77" s="137"/>
      <c r="X77" s="138"/>
      <c r="Y77" s="137"/>
      <c r="Z77" s="137"/>
      <c r="AA77" s="125">
        <f t="shared" si="2"/>
        <v>60</v>
      </c>
      <c r="AB77" s="138"/>
      <c r="AC77" s="125" t="s">
        <v>295</v>
      </c>
      <c r="AE77" s="133" t="s">
        <v>474</v>
      </c>
      <c r="AF77" s="193"/>
    </row>
    <row r="78" spans="1:32" s="143" customFormat="1" ht="12" x14ac:dyDescent="0.25">
      <c r="A78" s="125">
        <f>SUBTOTAL(3,B$9:$B78)</f>
        <v>70</v>
      </c>
      <c r="B78" s="125" t="s">
        <v>30</v>
      </c>
      <c r="C78" s="139" t="s">
        <v>253</v>
      </c>
      <c r="D78" s="139" t="s">
        <v>253</v>
      </c>
      <c r="E78" s="133" t="s">
        <v>107</v>
      </c>
      <c r="F78" s="20" t="s">
        <v>240</v>
      </c>
      <c r="G78" s="135"/>
      <c r="H78" s="136" t="s">
        <v>36</v>
      </c>
      <c r="I78" s="136" t="str">
        <f t="shared" si="3"/>
        <v>3(0,3)</v>
      </c>
      <c r="J78" s="125" t="s">
        <v>119</v>
      </c>
      <c r="K78" s="125">
        <v>90</v>
      </c>
      <c r="L78" s="125">
        <v>0</v>
      </c>
      <c r="M78" s="125" t="s">
        <v>74</v>
      </c>
      <c r="N78" s="125"/>
      <c r="O78" s="125"/>
      <c r="P78" s="125" t="s">
        <v>33</v>
      </c>
      <c r="Q78" s="141"/>
      <c r="R78" s="139">
        <v>27</v>
      </c>
      <c r="S78" s="136" t="s">
        <v>254</v>
      </c>
      <c r="T78" s="125"/>
      <c r="U78" s="137"/>
      <c r="V78" s="137"/>
      <c r="W78" s="137"/>
      <c r="X78" s="138"/>
      <c r="Y78" s="137"/>
      <c r="Z78" s="137"/>
      <c r="AA78" s="125">
        <f t="shared" si="2"/>
        <v>90</v>
      </c>
      <c r="AB78" s="138"/>
      <c r="AC78" s="125" t="s">
        <v>295</v>
      </c>
      <c r="AE78" s="194" t="s">
        <v>7</v>
      </c>
      <c r="AF78" s="193"/>
    </row>
    <row r="79" spans="1:32" s="143" customFormat="1" ht="12" x14ac:dyDescent="0.25">
      <c r="A79" s="125">
        <f>SUBTOTAL(3,B$9:$B79)</f>
        <v>71</v>
      </c>
      <c r="B79" s="125" t="s">
        <v>30</v>
      </c>
      <c r="C79" s="139" t="s">
        <v>253</v>
      </c>
      <c r="D79" s="139" t="s">
        <v>253</v>
      </c>
      <c r="E79" s="133" t="s">
        <v>124</v>
      </c>
      <c r="F79" s="20" t="s">
        <v>242</v>
      </c>
      <c r="G79" s="135"/>
      <c r="H79" s="136" t="s">
        <v>129</v>
      </c>
      <c r="I79" s="136" t="str">
        <f t="shared" si="3"/>
        <v>2(1,1)</v>
      </c>
      <c r="J79" s="125" t="s">
        <v>110</v>
      </c>
      <c r="K79" s="125">
        <v>45</v>
      </c>
      <c r="L79" s="125">
        <v>0</v>
      </c>
      <c r="M79" s="125" t="s">
        <v>74</v>
      </c>
      <c r="N79" s="125"/>
      <c r="O79" s="125"/>
      <c r="P79" s="125" t="s">
        <v>33</v>
      </c>
      <c r="Q79" s="141"/>
      <c r="R79" s="139">
        <v>27</v>
      </c>
      <c r="S79" s="136" t="s">
        <v>254</v>
      </c>
      <c r="T79" s="125"/>
      <c r="U79" s="137"/>
      <c r="V79" s="137"/>
      <c r="W79" s="137"/>
      <c r="X79" s="138"/>
      <c r="Y79" s="137"/>
      <c r="Z79" s="137"/>
      <c r="AA79" s="125">
        <f t="shared" si="2"/>
        <v>45</v>
      </c>
      <c r="AB79" s="138"/>
      <c r="AC79" s="125" t="s">
        <v>295</v>
      </c>
      <c r="AE79" s="133" t="s">
        <v>447</v>
      </c>
      <c r="AF79" s="193"/>
    </row>
    <row r="80" spans="1:32" s="143" customFormat="1" ht="24" x14ac:dyDescent="0.25">
      <c r="A80" s="125">
        <f>SUBTOTAL(3,B$9:$B80)</f>
        <v>72</v>
      </c>
      <c r="B80" s="125" t="s">
        <v>30</v>
      </c>
      <c r="C80" s="139" t="s">
        <v>253</v>
      </c>
      <c r="D80" s="139" t="s">
        <v>253</v>
      </c>
      <c r="E80" s="133" t="s">
        <v>247</v>
      </c>
      <c r="F80" s="20" t="s">
        <v>243</v>
      </c>
      <c r="G80" s="135"/>
      <c r="H80" s="136" t="s">
        <v>123</v>
      </c>
      <c r="I80" s="136" t="str">
        <f t="shared" si="3"/>
        <v>2(1,1)</v>
      </c>
      <c r="J80" s="125" t="s">
        <v>110</v>
      </c>
      <c r="K80" s="125">
        <v>45</v>
      </c>
      <c r="L80" s="125">
        <v>0</v>
      </c>
      <c r="M80" s="125" t="s">
        <v>74</v>
      </c>
      <c r="N80" s="125"/>
      <c r="O80" s="125"/>
      <c r="P80" s="125" t="s">
        <v>33</v>
      </c>
      <c r="Q80" s="141"/>
      <c r="R80" s="139">
        <v>27</v>
      </c>
      <c r="S80" s="136" t="s">
        <v>254</v>
      </c>
      <c r="T80" s="125"/>
      <c r="U80" s="137"/>
      <c r="V80" s="137"/>
      <c r="W80" s="137"/>
      <c r="X80" s="138"/>
      <c r="Y80" s="137"/>
      <c r="Z80" s="137"/>
      <c r="AA80" s="125">
        <f t="shared" si="2"/>
        <v>45</v>
      </c>
      <c r="AB80" s="138"/>
      <c r="AC80" s="125" t="s">
        <v>295</v>
      </c>
      <c r="AE80" s="194" t="s">
        <v>7</v>
      </c>
      <c r="AF80" s="193"/>
    </row>
    <row r="81" spans="1:32" s="142" customFormat="1" ht="12" x14ac:dyDescent="0.25">
      <c r="A81" s="145">
        <f>SUBTOTAL(3,B$9:$B81)</f>
        <v>73</v>
      </c>
      <c r="B81" s="145" t="s">
        <v>30</v>
      </c>
      <c r="C81" s="146" t="s">
        <v>258</v>
      </c>
      <c r="D81" s="146" t="s">
        <v>258</v>
      </c>
      <c r="E81" s="147" t="s">
        <v>148</v>
      </c>
      <c r="F81" s="148" t="s">
        <v>255</v>
      </c>
      <c r="G81" s="145"/>
      <c r="H81" s="149" t="s">
        <v>129</v>
      </c>
      <c r="I81" s="149" t="str">
        <f t="shared" si="3"/>
        <v>3(2,1)</v>
      </c>
      <c r="J81" s="145" t="s">
        <v>111</v>
      </c>
      <c r="K81" s="145">
        <v>60</v>
      </c>
      <c r="L81" s="145">
        <v>0</v>
      </c>
      <c r="M81" s="153" t="s">
        <v>74</v>
      </c>
      <c r="N81" s="153"/>
      <c r="O81" s="154"/>
      <c r="P81" s="145" t="s">
        <v>33</v>
      </c>
      <c r="Q81" s="150"/>
      <c r="R81" s="146">
        <v>27</v>
      </c>
      <c r="S81" s="149" t="s">
        <v>257</v>
      </c>
      <c r="T81" s="145"/>
      <c r="U81" s="151"/>
      <c r="V81" s="151"/>
      <c r="W81" s="151"/>
      <c r="X81" s="152"/>
      <c r="Y81" s="151"/>
      <c r="Z81" s="151"/>
      <c r="AA81" s="125">
        <f t="shared" si="2"/>
        <v>60</v>
      </c>
      <c r="AB81" s="152"/>
      <c r="AC81" s="145" t="s">
        <v>295</v>
      </c>
      <c r="AE81" s="206" t="s">
        <v>7</v>
      </c>
      <c r="AF81" s="187"/>
    </row>
    <row r="82" spans="1:32" s="142" customFormat="1" ht="12" x14ac:dyDescent="0.25">
      <c r="A82" s="145">
        <f>SUBTOTAL(3,B$9:$B82)</f>
        <v>74</v>
      </c>
      <c r="B82" s="145" t="s">
        <v>30</v>
      </c>
      <c r="C82" s="146" t="s">
        <v>258</v>
      </c>
      <c r="D82" s="146" t="s">
        <v>258</v>
      </c>
      <c r="E82" s="147" t="s">
        <v>149</v>
      </c>
      <c r="F82" s="148" t="s">
        <v>239</v>
      </c>
      <c r="G82" s="145"/>
      <c r="H82" s="149" t="s">
        <v>129</v>
      </c>
      <c r="I82" s="149" t="str">
        <f t="shared" si="3"/>
        <v>4(2,2)</v>
      </c>
      <c r="J82" s="145" t="s">
        <v>118</v>
      </c>
      <c r="K82" s="145">
        <v>90</v>
      </c>
      <c r="L82" s="145">
        <v>0</v>
      </c>
      <c r="M82" s="153" t="s">
        <v>74</v>
      </c>
      <c r="N82" s="153"/>
      <c r="O82" s="154"/>
      <c r="P82" s="145" t="s">
        <v>33</v>
      </c>
      <c r="Q82" s="150"/>
      <c r="R82" s="146"/>
      <c r="S82" s="149" t="s">
        <v>257</v>
      </c>
      <c r="T82" s="145"/>
      <c r="U82" s="151"/>
      <c r="V82" s="151"/>
      <c r="W82" s="151"/>
      <c r="X82" s="152"/>
      <c r="Y82" s="151"/>
      <c r="Z82" s="151"/>
      <c r="AA82" s="125">
        <f t="shared" si="2"/>
        <v>90</v>
      </c>
      <c r="AB82" s="152"/>
      <c r="AC82" s="145" t="s">
        <v>295</v>
      </c>
      <c r="AE82" s="194" t="s">
        <v>7</v>
      </c>
      <c r="AF82" s="187"/>
    </row>
    <row r="83" spans="1:32" s="142" customFormat="1" ht="24" x14ac:dyDescent="0.25">
      <c r="A83" s="145">
        <f>SUBTOTAL(3,B$9:$B83)</f>
        <v>75</v>
      </c>
      <c r="B83" s="145" t="s">
        <v>30</v>
      </c>
      <c r="C83" s="146" t="s">
        <v>258</v>
      </c>
      <c r="D83" s="146" t="s">
        <v>258</v>
      </c>
      <c r="E83" s="147" t="s">
        <v>141</v>
      </c>
      <c r="F83" s="148" t="s">
        <v>256</v>
      </c>
      <c r="G83" s="145"/>
      <c r="H83" s="149" t="s">
        <v>129</v>
      </c>
      <c r="I83" s="149" t="str">
        <f t="shared" si="3"/>
        <v>3(1,2)</v>
      </c>
      <c r="J83" s="145" t="s">
        <v>113</v>
      </c>
      <c r="K83" s="145">
        <v>75</v>
      </c>
      <c r="L83" s="145">
        <v>0</v>
      </c>
      <c r="M83" s="153" t="s">
        <v>74</v>
      </c>
      <c r="N83" s="153"/>
      <c r="O83" s="154"/>
      <c r="P83" s="145" t="s">
        <v>33</v>
      </c>
      <c r="Q83" s="150"/>
      <c r="R83" s="146">
        <v>27</v>
      </c>
      <c r="S83" s="149" t="s">
        <v>257</v>
      </c>
      <c r="T83" s="145"/>
      <c r="U83" s="151"/>
      <c r="V83" s="151"/>
      <c r="W83" s="151"/>
      <c r="X83" s="152"/>
      <c r="Y83" s="151"/>
      <c r="Z83" s="151"/>
      <c r="AA83" s="125">
        <f t="shared" si="2"/>
        <v>75</v>
      </c>
      <c r="AB83" s="152"/>
      <c r="AC83" s="145" t="s">
        <v>295</v>
      </c>
      <c r="AE83" s="147" t="s">
        <v>469</v>
      </c>
      <c r="AF83" s="187"/>
    </row>
    <row r="84" spans="1:32" s="142" customFormat="1" ht="12" x14ac:dyDescent="0.25">
      <c r="A84" s="145">
        <f>SUBTOTAL(3,B$9:$B84)</f>
        <v>76</v>
      </c>
      <c r="B84" s="145" t="s">
        <v>30</v>
      </c>
      <c r="C84" s="146" t="s">
        <v>258</v>
      </c>
      <c r="D84" s="146" t="s">
        <v>258</v>
      </c>
      <c r="E84" s="147" t="s">
        <v>107</v>
      </c>
      <c r="F84" s="148" t="s">
        <v>240</v>
      </c>
      <c r="G84" s="145"/>
      <c r="H84" s="149" t="s">
        <v>36</v>
      </c>
      <c r="I84" s="149" t="str">
        <f t="shared" si="3"/>
        <v>3(0,3)</v>
      </c>
      <c r="J84" s="145" t="s">
        <v>119</v>
      </c>
      <c r="K84" s="145">
        <v>90</v>
      </c>
      <c r="L84" s="145">
        <v>0</v>
      </c>
      <c r="M84" s="153" t="s">
        <v>74</v>
      </c>
      <c r="N84" s="153"/>
      <c r="O84" s="154"/>
      <c r="P84" s="145" t="s">
        <v>33</v>
      </c>
      <c r="Q84" s="150"/>
      <c r="R84" s="146">
        <v>27</v>
      </c>
      <c r="S84" s="149" t="s">
        <v>257</v>
      </c>
      <c r="T84" s="145"/>
      <c r="U84" s="151"/>
      <c r="V84" s="151"/>
      <c r="W84" s="151"/>
      <c r="X84" s="152"/>
      <c r="Y84" s="151"/>
      <c r="Z84" s="151"/>
      <c r="AA84" s="125">
        <f t="shared" si="2"/>
        <v>90</v>
      </c>
      <c r="AB84" s="152"/>
      <c r="AC84" s="145" t="s">
        <v>295</v>
      </c>
      <c r="AE84" s="206" t="s">
        <v>7</v>
      </c>
      <c r="AF84" s="187"/>
    </row>
    <row r="85" spans="1:32" s="142" customFormat="1" ht="12" x14ac:dyDescent="0.25">
      <c r="A85" s="145">
        <f>SUBTOTAL(3,B$9:$B85)</f>
        <v>77</v>
      </c>
      <c r="B85" s="145" t="s">
        <v>30</v>
      </c>
      <c r="C85" s="146" t="s">
        <v>258</v>
      </c>
      <c r="D85" s="146" t="s">
        <v>258</v>
      </c>
      <c r="E85" s="147" t="s">
        <v>124</v>
      </c>
      <c r="F85" s="148" t="s">
        <v>242</v>
      </c>
      <c r="G85" s="145"/>
      <c r="H85" s="149" t="s">
        <v>129</v>
      </c>
      <c r="I85" s="149" t="str">
        <f t="shared" si="3"/>
        <v>2(1,1)</v>
      </c>
      <c r="J85" s="145" t="s">
        <v>110</v>
      </c>
      <c r="K85" s="145">
        <v>45</v>
      </c>
      <c r="L85" s="145">
        <v>0</v>
      </c>
      <c r="M85" s="153" t="s">
        <v>74</v>
      </c>
      <c r="N85" s="153"/>
      <c r="O85" s="154"/>
      <c r="P85" s="145" t="s">
        <v>33</v>
      </c>
      <c r="Q85" s="150"/>
      <c r="R85" s="146">
        <v>27</v>
      </c>
      <c r="S85" s="149" t="s">
        <v>257</v>
      </c>
      <c r="T85" s="145"/>
      <c r="U85" s="151"/>
      <c r="V85" s="151"/>
      <c r="W85" s="151"/>
      <c r="X85" s="152"/>
      <c r="Y85" s="151"/>
      <c r="Z85" s="151"/>
      <c r="AA85" s="125">
        <f t="shared" si="2"/>
        <v>45</v>
      </c>
      <c r="AB85" s="152"/>
      <c r="AC85" s="145" t="s">
        <v>295</v>
      </c>
      <c r="AE85" s="133" t="s">
        <v>447</v>
      </c>
      <c r="AF85" s="187"/>
    </row>
    <row r="86" spans="1:32" s="142" customFormat="1" ht="24" x14ac:dyDescent="0.25">
      <c r="A86" s="145">
        <f>SUBTOTAL(3,B$9:$B86)</f>
        <v>78</v>
      </c>
      <c r="B86" s="145" t="s">
        <v>30</v>
      </c>
      <c r="C86" s="146" t="s">
        <v>258</v>
      </c>
      <c r="D86" s="146" t="s">
        <v>258</v>
      </c>
      <c r="E86" s="147" t="s">
        <v>247</v>
      </c>
      <c r="F86" s="148" t="s">
        <v>243</v>
      </c>
      <c r="G86" s="145"/>
      <c r="H86" s="149" t="s">
        <v>123</v>
      </c>
      <c r="I86" s="149" t="str">
        <f t="shared" si="3"/>
        <v>2(1,1)</v>
      </c>
      <c r="J86" s="145" t="s">
        <v>110</v>
      </c>
      <c r="K86" s="145">
        <v>45</v>
      </c>
      <c r="L86" s="145">
        <v>0</v>
      </c>
      <c r="M86" s="153" t="s">
        <v>74</v>
      </c>
      <c r="N86" s="153"/>
      <c r="O86" s="154"/>
      <c r="P86" s="145" t="s">
        <v>33</v>
      </c>
      <c r="Q86" s="150"/>
      <c r="R86" s="146">
        <v>27</v>
      </c>
      <c r="S86" s="149" t="s">
        <v>257</v>
      </c>
      <c r="T86" s="145"/>
      <c r="U86" s="151"/>
      <c r="V86" s="151"/>
      <c r="W86" s="151"/>
      <c r="X86" s="152"/>
      <c r="Y86" s="151"/>
      <c r="Z86" s="151"/>
      <c r="AA86" s="125">
        <f t="shared" si="2"/>
        <v>45</v>
      </c>
      <c r="AB86" s="152"/>
      <c r="AC86" s="145" t="s">
        <v>295</v>
      </c>
      <c r="AE86" s="206" t="s">
        <v>7</v>
      </c>
      <c r="AF86" s="187"/>
    </row>
    <row r="87" spans="1:32" s="143" customFormat="1" ht="24" x14ac:dyDescent="0.25">
      <c r="A87" s="125">
        <f>SUBTOTAL(3,B$9:$B87)</f>
        <v>79</v>
      </c>
      <c r="B87" s="125" t="s">
        <v>30</v>
      </c>
      <c r="C87" s="139" t="s">
        <v>244</v>
      </c>
      <c r="D87" s="139" t="s">
        <v>244</v>
      </c>
      <c r="E87" s="133" t="s">
        <v>201</v>
      </c>
      <c r="F87" s="20" t="s">
        <v>259</v>
      </c>
      <c r="G87" s="125"/>
      <c r="H87" s="136" t="s">
        <v>129</v>
      </c>
      <c r="I87" s="136" t="str">
        <f t="shared" si="3"/>
        <v>3(2,1)</v>
      </c>
      <c r="J87" s="125" t="s">
        <v>111</v>
      </c>
      <c r="K87" s="125">
        <v>0</v>
      </c>
      <c r="L87" s="125">
        <v>60</v>
      </c>
      <c r="M87" s="134"/>
      <c r="N87" s="134" t="s">
        <v>74</v>
      </c>
      <c r="O87" s="135"/>
      <c r="P87" s="125" t="s">
        <v>33</v>
      </c>
      <c r="Q87" s="141"/>
      <c r="R87" s="139">
        <v>26</v>
      </c>
      <c r="S87" s="136" t="s">
        <v>270</v>
      </c>
      <c r="T87" s="125"/>
      <c r="U87" s="137"/>
      <c r="V87" s="137"/>
      <c r="W87" s="137"/>
      <c r="X87" s="138"/>
      <c r="Y87" s="137"/>
      <c r="Z87" s="137"/>
      <c r="AA87" s="125">
        <f t="shared" si="2"/>
        <v>60</v>
      </c>
      <c r="AB87" s="138"/>
      <c r="AC87" s="125"/>
      <c r="AE87" s="133" t="s">
        <v>454</v>
      </c>
      <c r="AF87" s="193"/>
    </row>
    <row r="88" spans="1:32" s="143" customFormat="1" ht="24" x14ac:dyDescent="0.25">
      <c r="A88" s="125">
        <f>SUBTOTAL(3,B$9:$B88)</f>
        <v>80</v>
      </c>
      <c r="B88" s="125" t="s">
        <v>30</v>
      </c>
      <c r="C88" s="139" t="s">
        <v>244</v>
      </c>
      <c r="D88" s="139" t="s">
        <v>244</v>
      </c>
      <c r="E88" s="133" t="s">
        <v>261</v>
      </c>
      <c r="F88" s="20" t="s">
        <v>260</v>
      </c>
      <c r="G88" s="125"/>
      <c r="H88" s="136" t="s">
        <v>129</v>
      </c>
      <c r="I88" s="136" t="str">
        <f t="shared" si="3"/>
        <v>3(1,2)</v>
      </c>
      <c r="J88" s="125" t="s">
        <v>113</v>
      </c>
      <c r="K88" s="125">
        <v>0</v>
      </c>
      <c r="L88" s="125">
        <v>75</v>
      </c>
      <c r="M88" s="134"/>
      <c r="N88" s="134" t="s">
        <v>74</v>
      </c>
      <c r="O88" s="135"/>
      <c r="P88" s="125" t="s">
        <v>33</v>
      </c>
      <c r="Q88" s="141"/>
      <c r="R88" s="139">
        <v>26</v>
      </c>
      <c r="S88" s="136" t="s">
        <v>270</v>
      </c>
      <c r="T88" s="125"/>
      <c r="U88" s="137"/>
      <c r="V88" s="137"/>
      <c r="W88" s="137"/>
      <c r="X88" s="138"/>
      <c r="Y88" s="137"/>
      <c r="Z88" s="137"/>
      <c r="AA88" s="125">
        <f t="shared" si="2"/>
        <v>75</v>
      </c>
      <c r="AB88" s="138"/>
      <c r="AC88" s="125"/>
      <c r="AE88" s="133" t="s">
        <v>468</v>
      </c>
      <c r="AF88" s="193"/>
    </row>
    <row r="89" spans="1:32" s="143" customFormat="1" ht="24" x14ac:dyDescent="0.25">
      <c r="A89" s="125">
        <f>SUBTOTAL(3,B$9:$B89)</f>
        <v>81</v>
      </c>
      <c r="B89" s="125" t="s">
        <v>30</v>
      </c>
      <c r="C89" s="139" t="s">
        <v>244</v>
      </c>
      <c r="D89" s="139" t="s">
        <v>244</v>
      </c>
      <c r="E89" s="133" t="s">
        <v>263</v>
      </c>
      <c r="F89" s="20" t="s">
        <v>262</v>
      </c>
      <c r="G89" s="125"/>
      <c r="H89" s="136" t="s">
        <v>129</v>
      </c>
      <c r="I89" s="136" t="str">
        <f t="shared" si="3"/>
        <v>3(1,2)</v>
      </c>
      <c r="J89" s="125" t="s">
        <v>113</v>
      </c>
      <c r="K89" s="125">
        <v>0</v>
      </c>
      <c r="L89" s="125">
        <v>75</v>
      </c>
      <c r="M89" s="134"/>
      <c r="N89" s="134" t="s">
        <v>74</v>
      </c>
      <c r="O89" s="135"/>
      <c r="P89" s="125" t="s">
        <v>33</v>
      </c>
      <c r="Q89" s="141"/>
      <c r="R89" s="139">
        <v>26</v>
      </c>
      <c r="S89" s="136" t="s">
        <v>270</v>
      </c>
      <c r="T89" s="125"/>
      <c r="U89" s="137"/>
      <c r="V89" s="137"/>
      <c r="W89" s="137"/>
      <c r="X89" s="138"/>
      <c r="Y89" s="137"/>
      <c r="Z89" s="137"/>
      <c r="AA89" s="125">
        <f t="shared" si="2"/>
        <v>75</v>
      </c>
      <c r="AB89" s="138"/>
      <c r="AC89" s="125"/>
      <c r="AE89" s="133" t="s">
        <v>468</v>
      </c>
      <c r="AF89" s="193"/>
    </row>
    <row r="90" spans="1:32" s="143" customFormat="1" ht="12" x14ac:dyDescent="0.25">
      <c r="A90" s="125">
        <f>SUBTOTAL(3,B$9:$B90)</f>
        <v>82</v>
      </c>
      <c r="B90" s="125" t="s">
        <v>30</v>
      </c>
      <c r="C90" s="139" t="s">
        <v>244</v>
      </c>
      <c r="D90" s="139" t="s">
        <v>244</v>
      </c>
      <c r="E90" s="133" t="s">
        <v>265</v>
      </c>
      <c r="F90" s="20" t="s">
        <v>264</v>
      </c>
      <c r="G90" s="125"/>
      <c r="H90" s="136" t="s">
        <v>129</v>
      </c>
      <c r="I90" s="136" t="str">
        <f t="shared" si="3"/>
        <v>3(1,2)</v>
      </c>
      <c r="J90" s="125" t="s">
        <v>113</v>
      </c>
      <c r="K90" s="125">
        <v>0</v>
      </c>
      <c r="L90" s="125">
        <v>75</v>
      </c>
      <c r="M90" s="134"/>
      <c r="N90" s="134" t="s">
        <v>74</v>
      </c>
      <c r="O90" s="135"/>
      <c r="P90" s="125" t="s">
        <v>33</v>
      </c>
      <c r="Q90" s="141"/>
      <c r="R90" s="139">
        <v>26</v>
      </c>
      <c r="S90" s="136" t="s">
        <v>270</v>
      </c>
      <c r="T90" s="125"/>
      <c r="U90" s="137"/>
      <c r="V90" s="137"/>
      <c r="W90" s="137"/>
      <c r="X90" s="138"/>
      <c r="Y90" s="137"/>
      <c r="Z90" s="137"/>
      <c r="AA90" s="125">
        <f t="shared" si="2"/>
        <v>75</v>
      </c>
      <c r="AB90" s="138"/>
      <c r="AC90" s="125"/>
      <c r="AE90" s="133" t="s">
        <v>443</v>
      </c>
      <c r="AF90" s="193"/>
    </row>
    <row r="91" spans="1:32" s="143" customFormat="1" ht="24" x14ac:dyDescent="0.25">
      <c r="A91" s="125">
        <f>SUBTOTAL(3,B$9:$B91)</f>
        <v>83</v>
      </c>
      <c r="B91" s="125" t="s">
        <v>30</v>
      </c>
      <c r="C91" s="139" t="s">
        <v>244</v>
      </c>
      <c r="D91" s="139" t="s">
        <v>244</v>
      </c>
      <c r="E91" s="133" t="s">
        <v>268</v>
      </c>
      <c r="F91" s="20" t="s">
        <v>266</v>
      </c>
      <c r="G91" s="125"/>
      <c r="H91" s="136" t="s">
        <v>129</v>
      </c>
      <c r="I91" s="136" t="str">
        <f t="shared" si="3"/>
        <v>3(2,1)</v>
      </c>
      <c r="J91" s="125" t="s">
        <v>111</v>
      </c>
      <c r="K91" s="125">
        <v>60</v>
      </c>
      <c r="L91" s="125">
        <v>0</v>
      </c>
      <c r="M91" s="134" t="s">
        <v>74</v>
      </c>
      <c r="N91" s="134"/>
      <c r="O91" s="135"/>
      <c r="P91" s="125" t="s">
        <v>33</v>
      </c>
      <c r="Q91" s="141"/>
      <c r="R91" s="139">
        <v>26</v>
      </c>
      <c r="S91" s="136" t="s">
        <v>270</v>
      </c>
      <c r="T91" s="125"/>
      <c r="U91" s="137"/>
      <c r="V91" s="137"/>
      <c r="W91" s="137"/>
      <c r="X91" s="138"/>
      <c r="Y91" s="137"/>
      <c r="Z91" s="137"/>
      <c r="AA91" s="125">
        <f t="shared" si="2"/>
        <v>60</v>
      </c>
      <c r="AB91" s="138"/>
      <c r="AC91" s="125"/>
      <c r="AE91" s="194" t="s">
        <v>7</v>
      </c>
      <c r="AF91" s="193"/>
    </row>
    <row r="92" spans="1:32" s="143" customFormat="1" ht="24" x14ac:dyDescent="0.25">
      <c r="A92" s="125">
        <f>SUBTOTAL(3,B$9:$B92)</f>
        <v>84</v>
      </c>
      <c r="B92" s="125" t="s">
        <v>30</v>
      </c>
      <c r="C92" s="139" t="s">
        <v>244</v>
      </c>
      <c r="D92" s="139" t="s">
        <v>244</v>
      </c>
      <c r="E92" s="133" t="s">
        <v>269</v>
      </c>
      <c r="F92" s="20" t="s">
        <v>267</v>
      </c>
      <c r="G92" s="125"/>
      <c r="H92" s="136" t="s">
        <v>129</v>
      </c>
      <c r="I92" s="136" t="str">
        <f t="shared" si="3"/>
        <v>3(1,2)</v>
      </c>
      <c r="J92" s="125" t="s">
        <v>113</v>
      </c>
      <c r="K92" s="125">
        <v>75</v>
      </c>
      <c r="L92" s="125">
        <v>0</v>
      </c>
      <c r="M92" s="134" t="s">
        <v>74</v>
      </c>
      <c r="N92" s="134"/>
      <c r="O92" s="135"/>
      <c r="P92" s="125" t="s">
        <v>33</v>
      </c>
      <c r="Q92" s="141"/>
      <c r="R92" s="139">
        <v>26</v>
      </c>
      <c r="S92" s="136" t="s">
        <v>270</v>
      </c>
      <c r="T92" s="125"/>
      <c r="U92" s="137"/>
      <c r="V92" s="137"/>
      <c r="W92" s="137"/>
      <c r="X92" s="138"/>
      <c r="Y92" s="137"/>
      <c r="Z92" s="137"/>
      <c r="AA92" s="125">
        <f t="shared" si="2"/>
        <v>75</v>
      </c>
      <c r="AB92" s="138"/>
      <c r="AC92" s="125"/>
      <c r="AE92" s="205" t="s">
        <v>436</v>
      </c>
      <c r="AF92" s="153" t="s">
        <v>441</v>
      </c>
    </row>
    <row r="93" spans="1:32" s="142" customFormat="1" ht="24" x14ac:dyDescent="0.25">
      <c r="A93" s="145">
        <f>SUBTOTAL(3,B$9:$B93)</f>
        <v>85</v>
      </c>
      <c r="B93" s="145" t="s">
        <v>30</v>
      </c>
      <c r="C93" s="146" t="s">
        <v>253</v>
      </c>
      <c r="D93" s="146" t="s">
        <v>253</v>
      </c>
      <c r="E93" s="147" t="s">
        <v>192</v>
      </c>
      <c r="F93" s="148" t="s">
        <v>271</v>
      </c>
      <c r="G93" s="145"/>
      <c r="H93" s="149" t="s">
        <v>129</v>
      </c>
      <c r="I93" s="149" t="str">
        <f t="shared" si="3"/>
        <v>2(0,2)</v>
      </c>
      <c r="J93" s="145" t="s">
        <v>120</v>
      </c>
      <c r="K93" s="145">
        <v>0</v>
      </c>
      <c r="L93" s="145">
        <v>90</v>
      </c>
      <c r="M93" s="145"/>
      <c r="N93" s="145"/>
      <c r="O93" s="145" t="s">
        <v>74</v>
      </c>
      <c r="P93" s="145" t="s">
        <v>33</v>
      </c>
      <c r="Q93" s="150"/>
      <c r="R93" s="146">
        <v>26</v>
      </c>
      <c r="S93" s="149" t="s">
        <v>279</v>
      </c>
      <c r="T93" s="145"/>
      <c r="U93" s="151"/>
      <c r="V93" s="151"/>
      <c r="W93" s="151"/>
      <c r="X93" s="152"/>
      <c r="Y93" s="151"/>
      <c r="Z93" s="151"/>
      <c r="AA93" s="125">
        <f t="shared" si="2"/>
        <v>90</v>
      </c>
      <c r="AB93" s="152"/>
      <c r="AC93" s="145"/>
      <c r="AE93" s="147" t="s">
        <v>459</v>
      </c>
      <c r="AF93" s="187"/>
    </row>
    <row r="94" spans="1:32" s="142" customFormat="1" ht="24" x14ac:dyDescent="0.25">
      <c r="A94" s="145">
        <f>SUBTOTAL(3,B$9:$B94)</f>
        <v>86</v>
      </c>
      <c r="B94" s="145" t="s">
        <v>30</v>
      </c>
      <c r="C94" s="146" t="s">
        <v>253</v>
      </c>
      <c r="D94" s="146" t="s">
        <v>253</v>
      </c>
      <c r="E94" s="147" t="s">
        <v>268</v>
      </c>
      <c r="F94" s="148" t="s">
        <v>266</v>
      </c>
      <c r="G94" s="145"/>
      <c r="H94" s="149" t="s">
        <v>129</v>
      </c>
      <c r="I94" s="149" t="str">
        <f t="shared" si="3"/>
        <v>3(2,1)</v>
      </c>
      <c r="J94" s="145" t="s">
        <v>111</v>
      </c>
      <c r="K94" s="145">
        <v>60</v>
      </c>
      <c r="L94" s="145">
        <v>0</v>
      </c>
      <c r="M94" s="145" t="s">
        <v>74</v>
      </c>
      <c r="N94" s="145"/>
      <c r="O94" s="145"/>
      <c r="P94" s="145" t="s">
        <v>33</v>
      </c>
      <c r="Q94" s="150"/>
      <c r="R94" s="146">
        <v>26</v>
      </c>
      <c r="S94" s="149" t="s">
        <v>279</v>
      </c>
      <c r="T94" s="145"/>
      <c r="U94" s="151"/>
      <c r="V94" s="151"/>
      <c r="W94" s="151"/>
      <c r="X94" s="152"/>
      <c r="Y94" s="151"/>
      <c r="Z94" s="151"/>
      <c r="AA94" s="125">
        <f t="shared" si="2"/>
        <v>60</v>
      </c>
      <c r="AB94" s="152"/>
      <c r="AC94" s="145"/>
      <c r="AE94" s="206" t="s">
        <v>7</v>
      </c>
      <c r="AF94" s="187"/>
    </row>
    <row r="95" spans="1:32" s="142" customFormat="1" ht="12" x14ac:dyDescent="0.25">
      <c r="A95" s="145">
        <f>SUBTOTAL(3,B$9:$B95)</f>
        <v>87</v>
      </c>
      <c r="B95" s="145" t="s">
        <v>30</v>
      </c>
      <c r="C95" s="146" t="s">
        <v>253</v>
      </c>
      <c r="D95" s="146" t="s">
        <v>253</v>
      </c>
      <c r="E95" s="147" t="s">
        <v>202</v>
      </c>
      <c r="F95" s="148" t="s">
        <v>272</v>
      </c>
      <c r="G95" s="145"/>
      <c r="H95" s="149" t="s">
        <v>129</v>
      </c>
      <c r="I95" s="149" t="str">
        <f t="shared" si="3"/>
        <v>2(1,1)</v>
      </c>
      <c r="J95" s="145" t="s">
        <v>110</v>
      </c>
      <c r="K95" s="145">
        <v>45</v>
      </c>
      <c r="L95" s="145">
        <v>0</v>
      </c>
      <c r="M95" s="145" t="s">
        <v>74</v>
      </c>
      <c r="N95" s="145"/>
      <c r="O95" s="145"/>
      <c r="P95" s="145" t="s">
        <v>33</v>
      </c>
      <c r="Q95" s="150"/>
      <c r="R95" s="146">
        <v>26</v>
      </c>
      <c r="S95" s="149" t="s">
        <v>279</v>
      </c>
      <c r="T95" s="145"/>
      <c r="U95" s="151"/>
      <c r="V95" s="151"/>
      <c r="W95" s="151"/>
      <c r="X95" s="152"/>
      <c r="Y95" s="151"/>
      <c r="Z95" s="151"/>
      <c r="AA95" s="125">
        <f t="shared" si="2"/>
        <v>45</v>
      </c>
      <c r="AB95" s="152"/>
      <c r="AC95" s="145"/>
      <c r="AE95" s="215" t="s">
        <v>7</v>
      </c>
      <c r="AF95" s="187" t="s">
        <v>452</v>
      </c>
    </row>
    <row r="96" spans="1:32" s="142" customFormat="1" ht="12" x14ac:dyDescent="0.25">
      <c r="A96" s="145">
        <f>SUBTOTAL(3,B$9:$B96)</f>
        <v>88</v>
      </c>
      <c r="B96" s="145" t="s">
        <v>30</v>
      </c>
      <c r="C96" s="146" t="s">
        <v>253</v>
      </c>
      <c r="D96" s="146" t="s">
        <v>253</v>
      </c>
      <c r="E96" s="147" t="s">
        <v>145</v>
      </c>
      <c r="F96" s="148" t="s">
        <v>273</v>
      </c>
      <c r="G96" s="145"/>
      <c r="H96" s="149" t="s">
        <v>129</v>
      </c>
      <c r="I96" s="149" t="str">
        <f t="shared" si="3"/>
        <v>3(1,2)</v>
      </c>
      <c r="J96" s="145" t="s">
        <v>113</v>
      </c>
      <c r="K96" s="145">
        <v>75</v>
      </c>
      <c r="L96" s="145">
        <v>0</v>
      </c>
      <c r="M96" s="145" t="s">
        <v>74</v>
      </c>
      <c r="N96" s="145"/>
      <c r="O96" s="145"/>
      <c r="P96" s="145" t="s">
        <v>33</v>
      </c>
      <c r="Q96" s="150"/>
      <c r="R96" s="146">
        <v>26</v>
      </c>
      <c r="S96" s="149" t="s">
        <v>279</v>
      </c>
      <c r="T96" s="145"/>
      <c r="U96" s="151"/>
      <c r="V96" s="151"/>
      <c r="W96" s="151"/>
      <c r="X96" s="152"/>
      <c r="Y96" s="151"/>
      <c r="Z96" s="151"/>
      <c r="AA96" s="125">
        <f t="shared" si="2"/>
        <v>75</v>
      </c>
      <c r="AB96" s="152"/>
      <c r="AC96" s="145"/>
      <c r="AE96" s="147" t="s">
        <v>462</v>
      </c>
      <c r="AF96" s="187"/>
    </row>
    <row r="97" spans="1:32" s="142" customFormat="1" ht="12" x14ac:dyDescent="0.25">
      <c r="A97" s="145">
        <f>SUBTOTAL(3,B$9:$B97)</f>
        <v>89</v>
      </c>
      <c r="B97" s="145" t="s">
        <v>30</v>
      </c>
      <c r="C97" s="146" t="s">
        <v>253</v>
      </c>
      <c r="D97" s="146" t="s">
        <v>253</v>
      </c>
      <c r="E97" s="147" t="s">
        <v>280</v>
      </c>
      <c r="F97" s="148" t="s">
        <v>274</v>
      </c>
      <c r="G97" s="145"/>
      <c r="H97" s="149" t="s">
        <v>129</v>
      </c>
      <c r="I97" s="149" t="str">
        <f t="shared" si="3"/>
        <v>4(2,2)</v>
      </c>
      <c r="J97" s="145" t="s">
        <v>118</v>
      </c>
      <c r="K97" s="145">
        <v>90</v>
      </c>
      <c r="L97" s="145">
        <v>0</v>
      </c>
      <c r="M97" s="145" t="s">
        <v>74</v>
      </c>
      <c r="N97" s="145"/>
      <c r="O97" s="145"/>
      <c r="P97" s="145" t="s">
        <v>33</v>
      </c>
      <c r="Q97" s="150"/>
      <c r="R97" s="146">
        <v>26</v>
      </c>
      <c r="S97" s="149" t="s">
        <v>279</v>
      </c>
      <c r="T97" s="145"/>
      <c r="U97" s="151"/>
      <c r="V97" s="151"/>
      <c r="W97" s="151"/>
      <c r="X97" s="152"/>
      <c r="Y97" s="151"/>
      <c r="Z97" s="151"/>
      <c r="AA97" s="125">
        <f t="shared" si="2"/>
        <v>90</v>
      </c>
      <c r="AB97" s="152"/>
      <c r="AC97" s="145"/>
      <c r="AE97" s="147" t="s">
        <v>446</v>
      </c>
      <c r="AF97" s="187"/>
    </row>
    <row r="98" spans="1:32" s="142" customFormat="1" ht="12" x14ac:dyDescent="0.25">
      <c r="A98" s="145">
        <f>SUBTOTAL(3,B$9:$B98)</f>
        <v>90</v>
      </c>
      <c r="B98" s="145" t="s">
        <v>30</v>
      </c>
      <c r="C98" s="146" t="s">
        <v>253</v>
      </c>
      <c r="D98" s="146" t="s">
        <v>253</v>
      </c>
      <c r="E98" s="147" t="s">
        <v>276</v>
      </c>
      <c r="F98" s="148" t="s">
        <v>275</v>
      </c>
      <c r="G98" s="145"/>
      <c r="H98" s="149" t="s">
        <v>129</v>
      </c>
      <c r="I98" s="149" t="str">
        <f t="shared" si="3"/>
        <v>3(1,2)</v>
      </c>
      <c r="J98" s="145" t="s">
        <v>113</v>
      </c>
      <c r="K98" s="145">
        <v>0</v>
      </c>
      <c r="L98" s="145">
        <v>75</v>
      </c>
      <c r="M98" s="145"/>
      <c r="N98" s="145" t="s">
        <v>74</v>
      </c>
      <c r="O98" s="145"/>
      <c r="P98" s="145" t="s">
        <v>30</v>
      </c>
      <c r="Q98" s="150"/>
      <c r="R98" s="146">
        <v>26</v>
      </c>
      <c r="S98" s="149" t="s">
        <v>279</v>
      </c>
      <c r="T98" s="145"/>
      <c r="U98" s="151"/>
      <c r="V98" s="151"/>
      <c r="W98" s="151"/>
      <c r="X98" s="152"/>
      <c r="Y98" s="151"/>
      <c r="Z98" s="151"/>
      <c r="AA98" s="125">
        <f t="shared" si="2"/>
        <v>75</v>
      </c>
      <c r="AB98" s="152"/>
      <c r="AC98" s="145"/>
      <c r="AE98" s="147" t="s">
        <v>464</v>
      </c>
      <c r="AF98" s="187"/>
    </row>
    <row r="99" spans="1:32" s="142" customFormat="1" ht="12" x14ac:dyDescent="0.25">
      <c r="A99" s="145">
        <f>SUBTOTAL(3,B$9:$B99)</f>
        <v>91</v>
      </c>
      <c r="B99" s="145" t="s">
        <v>30</v>
      </c>
      <c r="C99" s="146" t="s">
        <v>253</v>
      </c>
      <c r="D99" s="146" t="s">
        <v>253</v>
      </c>
      <c r="E99" s="147" t="s">
        <v>278</v>
      </c>
      <c r="F99" s="148" t="s">
        <v>277</v>
      </c>
      <c r="G99" s="145"/>
      <c r="H99" s="149" t="s">
        <v>129</v>
      </c>
      <c r="I99" s="149" t="str">
        <f t="shared" si="3"/>
        <v>3(1,2)</v>
      </c>
      <c r="J99" s="145" t="s">
        <v>113</v>
      </c>
      <c r="K99" s="145">
        <v>0</v>
      </c>
      <c r="L99" s="145">
        <v>75</v>
      </c>
      <c r="M99" s="145"/>
      <c r="N99" s="145" t="s">
        <v>74</v>
      </c>
      <c r="O99" s="145"/>
      <c r="P99" s="145" t="s">
        <v>30</v>
      </c>
      <c r="Q99" s="150"/>
      <c r="R99" s="146">
        <v>26</v>
      </c>
      <c r="S99" s="149" t="s">
        <v>279</v>
      </c>
      <c r="T99" s="145"/>
      <c r="U99" s="151"/>
      <c r="V99" s="151"/>
      <c r="W99" s="151"/>
      <c r="X99" s="152"/>
      <c r="Y99" s="151"/>
      <c r="Z99" s="151"/>
      <c r="AA99" s="125">
        <f t="shared" si="2"/>
        <v>75</v>
      </c>
      <c r="AB99" s="152"/>
      <c r="AC99" s="145"/>
      <c r="AE99" s="147" t="s">
        <v>475</v>
      </c>
      <c r="AF99" s="187"/>
    </row>
    <row r="100" spans="1:32" s="143" customFormat="1" ht="24" x14ac:dyDescent="0.25">
      <c r="A100" s="125">
        <f>SUBTOTAL(3,B$9:$B100)</f>
        <v>92</v>
      </c>
      <c r="B100" s="125" t="s">
        <v>30</v>
      </c>
      <c r="C100" s="139" t="s">
        <v>258</v>
      </c>
      <c r="D100" s="139" t="s">
        <v>258</v>
      </c>
      <c r="E100" s="133" t="s">
        <v>268</v>
      </c>
      <c r="F100" s="20" t="s">
        <v>266</v>
      </c>
      <c r="G100" s="125"/>
      <c r="H100" s="136" t="s">
        <v>129</v>
      </c>
      <c r="I100" s="136" t="str">
        <f t="shared" si="3"/>
        <v>3(2,1)</v>
      </c>
      <c r="J100" s="125" t="s">
        <v>111</v>
      </c>
      <c r="K100" s="125">
        <v>60</v>
      </c>
      <c r="L100" s="125">
        <v>0</v>
      </c>
      <c r="M100" s="125" t="s">
        <v>74</v>
      </c>
      <c r="N100" s="125"/>
      <c r="O100" s="125"/>
      <c r="P100" s="125" t="s">
        <v>33</v>
      </c>
      <c r="Q100" s="141"/>
      <c r="R100" s="139">
        <v>26</v>
      </c>
      <c r="S100" s="136" t="s">
        <v>286</v>
      </c>
      <c r="T100" s="125"/>
      <c r="U100" s="137"/>
      <c r="V100" s="137"/>
      <c r="W100" s="137"/>
      <c r="X100" s="138"/>
      <c r="Y100" s="137"/>
      <c r="Z100" s="137"/>
      <c r="AA100" s="125">
        <f t="shared" si="2"/>
        <v>60</v>
      </c>
      <c r="AB100" s="138"/>
      <c r="AC100" s="125"/>
      <c r="AE100" s="194" t="s">
        <v>7</v>
      </c>
      <c r="AF100" s="193"/>
    </row>
    <row r="101" spans="1:32" s="143" customFormat="1" ht="24" x14ac:dyDescent="0.25">
      <c r="A101" s="125">
        <f>SUBTOTAL(3,B$9:$B101)</f>
        <v>93</v>
      </c>
      <c r="B101" s="125" t="s">
        <v>30</v>
      </c>
      <c r="C101" s="139" t="s">
        <v>258</v>
      </c>
      <c r="D101" s="139" t="s">
        <v>258</v>
      </c>
      <c r="E101" s="133" t="s">
        <v>140</v>
      </c>
      <c r="F101" s="20" t="s">
        <v>281</v>
      </c>
      <c r="G101" s="125"/>
      <c r="H101" s="136" t="s">
        <v>129</v>
      </c>
      <c r="I101" s="136" t="str">
        <f t="shared" si="3"/>
        <v>3(1,2)</v>
      </c>
      <c r="J101" s="125" t="s">
        <v>113</v>
      </c>
      <c r="K101" s="125">
        <v>75</v>
      </c>
      <c r="L101" s="125">
        <v>0</v>
      </c>
      <c r="M101" s="125" t="s">
        <v>74</v>
      </c>
      <c r="N101" s="125"/>
      <c r="O101" s="125"/>
      <c r="P101" s="125" t="s">
        <v>33</v>
      </c>
      <c r="Q101" s="141"/>
      <c r="R101" s="139">
        <v>26</v>
      </c>
      <c r="S101" s="136" t="s">
        <v>286</v>
      </c>
      <c r="T101" s="125"/>
      <c r="U101" s="137"/>
      <c r="V101" s="137"/>
      <c r="W101" s="137"/>
      <c r="X101" s="138"/>
      <c r="Y101" s="137"/>
      <c r="Z101" s="137"/>
      <c r="AA101" s="125">
        <f t="shared" si="2"/>
        <v>75</v>
      </c>
      <c r="AB101" s="138"/>
      <c r="AC101" s="125"/>
      <c r="AE101" s="205" t="s">
        <v>470</v>
      </c>
      <c r="AF101" s="193"/>
    </row>
    <row r="102" spans="1:32" s="143" customFormat="1" ht="24" x14ac:dyDescent="0.25">
      <c r="A102" s="125">
        <f>SUBTOTAL(3,B$9:$B102)</f>
        <v>94</v>
      </c>
      <c r="B102" s="125" t="s">
        <v>30</v>
      </c>
      <c r="C102" s="139" t="s">
        <v>258</v>
      </c>
      <c r="D102" s="139" t="s">
        <v>258</v>
      </c>
      <c r="E102" s="133" t="s">
        <v>142</v>
      </c>
      <c r="F102" s="20" t="s">
        <v>282</v>
      </c>
      <c r="G102" s="125"/>
      <c r="H102" s="136" t="s">
        <v>129</v>
      </c>
      <c r="I102" s="136" t="str">
        <f t="shared" si="3"/>
        <v>3(1,2)</v>
      </c>
      <c r="J102" s="125" t="s">
        <v>113</v>
      </c>
      <c r="K102" s="125">
        <v>75</v>
      </c>
      <c r="L102" s="125">
        <v>0</v>
      </c>
      <c r="M102" s="125" t="s">
        <v>74</v>
      </c>
      <c r="N102" s="125"/>
      <c r="O102" s="125"/>
      <c r="P102" s="125" t="s">
        <v>33</v>
      </c>
      <c r="Q102" s="141"/>
      <c r="R102" s="139">
        <v>26</v>
      </c>
      <c r="S102" s="136" t="s">
        <v>286</v>
      </c>
      <c r="T102" s="125"/>
      <c r="U102" s="137"/>
      <c r="V102" s="137"/>
      <c r="W102" s="137"/>
      <c r="X102" s="138"/>
      <c r="Y102" s="137"/>
      <c r="Z102" s="137"/>
      <c r="AA102" s="125">
        <f t="shared" si="2"/>
        <v>75</v>
      </c>
      <c r="AB102" s="138"/>
      <c r="AC102" s="125"/>
      <c r="AE102" s="133" t="s">
        <v>471</v>
      </c>
      <c r="AF102" s="221" t="s">
        <v>452</v>
      </c>
    </row>
    <row r="103" spans="1:32" s="143" customFormat="1" ht="12" x14ac:dyDescent="0.25">
      <c r="A103" s="125">
        <f>SUBTOTAL(3,B$9:$B103)</f>
        <v>95</v>
      </c>
      <c r="B103" s="125" t="s">
        <v>30</v>
      </c>
      <c r="C103" s="139" t="s">
        <v>258</v>
      </c>
      <c r="D103" s="139" t="s">
        <v>258</v>
      </c>
      <c r="E103" s="133" t="s">
        <v>143</v>
      </c>
      <c r="F103" s="20" t="s">
        <v>283</v>
      </c>
      <c r="G103" s="125"/>
      <c r="H103" s="136" t="s">
        <v>129</v>
      </c>
      <c r="I103" s="136" t="str">
        <f t="shared" si="3"/>
        <v>3(1,2)</v>
      </c>
      <c r="J103" s="125" t="s">
        <v>113</v>
      </c>
      <c r="K103" s="125">
        <v>75</v>
      </c>
      <c r="L103" s="125">
        <v>0</v>
      </c>
      <c r="M103" s="125" t="s">
        <v>74</v>
      </c>
      <c r="N103" s="125"/>
      <c r="O103" s="125"/>
      <c r="P103" s="125" t="s">
        <v>33</v>
      </c>
      <c r="Q103" s="141"/>
      <c r="R103" s="139">
        <v>26</v>
      </c>
      <c r="S103" s="136" t="s">
        <v>286</v>
      </c>
      <c r="T103" s="125"/>
      <c r="U103" s="137"/>
      <c r="V103" s="137"/>
      <c r="W103" s="137"/>
      <c r="X103" s="138"/>
      <c r="Y103" s="137"/>
      <c r="Z103" s="137"/>
      <c r="AA103" s="125">
        <f t="shared" si="2"/>
        <v>75</v>
      </c>
      <c r="AB103" s="138"/>
      <c r="AC103" s="125"/>
      <c r="AE103" s="133" t="s">
        <v>472</v>
      </c>
      <c r="AF103" s="193"/>
    </row>
    <row r="104" spans="1:32" s="143" customFormat="1" ht="24" x14ac:dyDescent="0.25">
      <c r="A104" s="125">
        <f>SUBTOTAL(3,B$9:$B104)</f>
        <v>96</v>
      </c>
      <c r="B104" s="125" t="s">
        <v>30</v>
      </c>
      <c r="C104" s="139" t="s">
        <v>258</v>
      </c>
      <c r="D104" s="139" t="s">
        <v>258</v>
      </c>
      <c r="E104" s="133" t="s">
        <v>292</v>
      </c>
      <c r="F104" s="20" t="s">
        <v>284</v>
      </c>
      <c r="G104" s="125"/>
      <c r="H104" s="136" t="s">
        <v>129</v>
      </c>
      <c r="I104" s="136" t="str">
        <f t="shared" si="3"/>
        <v>3(1,2)</v>
      </c>
      <c r="J104" s="125" t="s">
        <v>113</v>
      </c>
      <c r="K104" s="125">
        <v>75</v>
      </c>
      <c r="L104" s="125">
        <v>0</v>
      </c>
      <c r="M104" s="134" t="s">
        <v>74</v>
      </c>
      <c r="N104" s="134"/>
      <c r="O104" s="135"/>
      <c r="P104" s="125" t="s">
        <v>30</v>
      </c>
      <c r="Q104" s="141"/>
      <c r="R104" s="139">
        <v>26</v>
      </c>
      <c r="S104" s="136" t="s">
        <v>286</v>
      </c>
      <c r="T104" s="125"/>
      <c r="U104" s="137"/>
      <c r="V104" s="137"/>
      <c r="W104" s="137"/>
      <c r="X104" s="138"/>
      <c r="Y104" s="137"/>
      <c r="Z104" s="137"/>
      <c r="AA104" s="125">
        <f t="shared" si="2"/>
        <v>75</v>
      </c>
      <c r="AB104" s="138"/>
      <c r="AC104" s="125"/>
      <c r="AE104" s="205" t="s">
        <v>436</v>
      </c>
      <c r="AF104" s="193" t="s">
        <v>473</v>
      </c>
    </row>
    <row r="105" spans="1:32" s="143" customFormat="1" ht="12" x14ac:dyDescent="0.25">
      <c r="A105" s="125">
        <f>SUBTOTAL(3,B$9:$B105)</f>
        <v>97</v>
      </c>
      <c r="B105" s="125" t="s">
        <v>30</v>
      </c>
      <c r="C105" s="139" t="s">
        <v>258</v>
      </c>
      <c r="D105" s="139" t="s">
        <v>258</v>
      </c>
      <c r="E105" s="133" t="s">
        <v>293</v>
      </c>
      <c r="F105" s="20" t="s">
        <v>285</v>
      </c>
      <c r="G105" s="125"/>
      <c r="H105" s="136" t="s">
        <v>129</v>
      </c>
      <c r="I105" s="136" t="str">
        <f t="shared" si="3"/>
        <v>3(1,2</v>
      </c>
      <c r="J105" s="125" t="s">
        <v>113</v>
      </c>
      <c r="K105" s="125">
        <v>75</v>
      </c>
      <c r="L105" s="125">
        <v>0</v>
      </c>
      <c r="M105" s="134" t="s">
        <v>74</v>
      </c>
      <c r="N105" s="134"/>
      <c r="O105" s="135"/>
      <c r="P105" s="125" t="s">
        <v>30</v>
      </c>
      <c r="Q105" s="141"/>
      <c r="R105" s="139">
        <v>26</v>
      </c>
      <c r="S105" s="136" t="s">
        <v>286</v>
      </c>
      <c r="T105" s="125"/>
      <c r="U105" s="137"/>
      <c r="V105" s="137"/>
      <c r="W105" s="137"/>
      <c r="X105" s="138"/>
      <c r="Y105" s="137"/>
      <c r="Z105" s="137"/>
      <c r="AA105" s="125">
        <f>K105+L105</f>
        <v>75</v>
      </c>
      <c r="AB105" s="138"/>
      <c r="AC105" s="125"/>
      <c r="AE105" s="133" t="s">
        <v>458</v>
      </c>
      <c r="AF105" s="193"/>
    </row>
    <row r="106" spans="1:32" x14ac:dyDescent="0.2">
      <c r="A106" s="2" t="s">
        <v>294</v>
      </c>
      <c r="J106" s="4"/>
      <c r="K106" s="4"/>
      <c r="L106" s="4"/>
      <c r="M106" s="4"/>
      <c r="N106" s="4"/>
      <c r="O106" s="4"/>
      <c r="P106" s="4"/>
    </row>
  </sheetData>
  <autoFilter ref="A8:AF106" xr:uid="{46DB4F45-676D-4950-B8EB-5026D2A66D6F}"/>
  <mergeCells count="8">
    <mergeCell ref="A6:AC6"/>
    <mergeCell ref="A1:F1"/>
    <mergeCell ref="L1:AC1"/>
    <mergeCell ref="A2:F2"/>
    <mergeCell ref="L2:AC2"/>
    <mergeCell ref="A3:F3"/>
    <mergeCell ref="A4:F4"/>
    <mergeCell ref="L4:AC4"/>
  </mergeCells>
  <pageMargins left="0.2" right="0.2" top="0.4" bottom="0.5" header="0.3" footer="0"/>
  <pageSetup scale="77" fitToHeight="0" orientation="landscape" blackAndWhite="1" r:id="rId1"/>
  <headerFooter>
    <oddFooter>&amp;LBM03a-QT/11/P.QLĐT&amp;R&amp;P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08799-7773-46C5-AA0A-3DD35D50A7FC}">
  <sheetPr>
    <tabColor rgb="FFFFFF00"/>
    <pageSetUpPr fitToPage="1"/>
  </sheetPr>
  <dimension ref="A1:AE105"/>
  <sheetViews>
    <sheetView zoomScaleNormal="100" zoomScaleSheetLayoutView="100" workbookViewId="0">
      <pane ySplit="8" topLeftCell="A9" activePane="bottomLeft" state="frozen"/>
      <selection pane="bottomLeft" activeCell="P3" sqref="P1:AD1048576"/>
    </sheetView>
  </sheetViews>
  <sheetFormatPr defaultRowHeight="12.75" x14ac:dyDescent="0.2"/>
  <cols>
    <col min="1" max="1" width="4.85546875" style="171" customWidth="1"/>
    <col min="2" max="2" width="4.140625" style="171" customWidth="1"/>
    <col min="3" max="3" width="16.7109375" style="171" customWidth="1"/>
    <col min="4" max="4" width="16.140625" style="168" customWidth="1"/>
    <col min="5" max="5" width="31.5703125" style="174" bestFit="1" customWidth="1"/>
    <col min="6" max="6" width="12.7109375" style="168" customWidth="1"/>
    <col min="7" max="7" width="11.28515625" style="169" customWidth="1"/>
    <col min="8" max="9" width="9.85546875" style="168" customWidth="1"/>
    <col min="10" max="10" width="7.7109375" style="171" customWidth="1"/>
    <col min="11" max="12" width="4.28515625" style="171" customWidth="1"/>
    <col min="13" max="13" width="5.85546875" style="171" customWidth="1"/>
    <col min="14" max="14" width="5.140625" style="171" customWidth="1"/>
    <col min="15" max="15" width="5.28515625" style="171" customWidth="1"/>
    <col min="16" max="16" width="5.85546875" style="171" customWidth="1"/>
    <col min="17" max="17" width="31.140625" style="172" customWidth="1"/>
    <col min="18" max="18" width="5.5703125" style="172" customWidth="1"/>
    <col min="19" max="19" width="12.28515625" style="168" customWidth="1"/>
    <col min="20" max="20" width="5.42578125" style="171" customWidth="1"/>
    <col min="21" max="21" width="4.5703125" style="171" customWidth="1"/>
    <col min="22" max="22" width="4.140625" style="171" customWidth="1"/>
    <col min="23" max="23" width="4.5703125" style="171" customWidth="1"/>
    <col min="24" max="24" width="3.5703125" style="168" customWidth="1"/>
    <col min="25" max="26" width="3.5703125" style="171" customWidth="1"/>
    <col min="27" max="27" width="5.85546875" style="171" customWidth="1"/>
    <col min="28" max="28" width="18.85546875" style="168" customWidth="1"/>
    <col min="29" max="29" width="19.5703125" style="171" customWidth="1"/>
    <col min="30" max="30" width="12.42578125" style="173" bestFit="1" customWidth="1"/>
    <col min="31" max="16384" width="9.140625" style="173"/>
  </cols>
  <sheetData>
    <row r="1" spans="1:31" s="160" customFormat="1" ht="16.5" customHeight="1" x14ac:dyDescent="0.25">
      <c r="A1" s="226" t="s">
        <v>62</v>
      </c>
      <c r="B1" s="226"/>
      <c r="C1" s="226"/>
      <c r="D1" s="226"/>
      <c r="E1" s="226"/>
      <c r="F1" s="226"/>
      <c r="G1" s="157"/>
      <c r="H1" s="157"/>
      <c r="I1" s="157"/>
      <c r="J1" s="158"/>
      <c r="K1" s="159"/>
      <c r="L1" s="225" t="s">
        <v>42</v>
      </c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</row>
    <row r="2" spans="1:31" s="160" customFormat="1" ht="16.5" customHeight="1" x14ac:dyDescent="0.25">
      <c r="A2" s="225" t="s">
        <v>40</v>
      </c>
      <c r="B2" s="225"/>
      <c r="C2" s="225"/>
      <c r="D2" s="225"/>
      <c r="E2" s="225"/>
      <c r="F2" s="225"/>
      <c r="G2" s="161"/>
      <c r="H2" s="161"/>
      <c r="I2" s="161"/>
      <c r="J2" s="158"/>
      <c r="K2" s="159"/>
      <c r="L2" s="225" t="s">
        <v>47</v>
      </c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</row>
    <row r="3" spans="1:31" s="160" customFormat="1" ht="16.5" customHeight="1" x14ac:dyDescent="0.25">
      <c r="A3" s="225" t="s">
        <v>41</v>
      </c>
      <c r="B3" s="225"/>
      <c r="C3" s="225"/>
      <c r="D3" s="225"/>
      <c r="E3" s="225"/>
      <c r="F3" s="225"/>
      <c r="G3" s="161"/>
      <c r="H3" s="161"/>
      <c r="I3" s="161"/>
      <c r="J3" s="158"/>
      <c r="K3" s="162"/>
      <c r="L3" s="162"/>
      <c r="M3" s="157"/>
      <c r="N3" s="157"/>
      <c r="O3" s="157"/>
      <c r="P3" s="162"/>
      <c r="Q3" s="163"/>
      <c r="R3" s="163"/>
      <c r="S3" s="162"/>
      <c r="T3" s="157"/>
      <c r="U3" s="157"/>
      <c r="V3" s="157"/>
      <c r="W3" s="157"/>
      <c r="X3" s="164"/>
      <c r="Y3" s="157"/>
      <c r="Z3" s="162"/>
      <c r="AA3" s="162"/>
      <c r="AB3" s="164"/>
      <c r="AC3" s="162"/>
    </row>
    <row r="4" spans="1:31" s="160" customFormat="1" ht="16.5" customHeight="1" x14ac:dyDescent="0.25">
      <c r="A4" s="226" t="s">
        <v>46</v>
      </c>
      <c r="B4" s="226"/>
      <c r="C4" s="226"/>
      <c r="D4" s="226"/>
      <c r="E4" s="226"/>
      <c r="F4" s="226"/>
      <c r="G4" s="157"/>
      <c r="H4" s="157"/>
      <c r="I4" s="157"/>
      <c r="J4" s="158"/>
      <c r="K4" s="165"/>
      <c r="L4" s="227" t="s">
        <v>43</v>
      </c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</row>
    <row r="5" spans="1:31" ht="12.75" customHeight="1" x14ac:dyDescent="0.3">
      <c r="A5" s="159"/>
      <c r="B5" s="161"/>
      <c r="C5" s="161"/>
      <c r="D5" s="166"/>
      <c r="E5" s="167"/>
      <c r="J5" s="170"/>
    </row>
    <row r="6" spans="1:31" ht="15.75" x14ac:dyDescent="0.25">
      <c r="A6" s="225" t="s">
        <v>425</v>
      </c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</row>
    <row r="7" spans="1:31" ht="12.75" customHeight="1" x14ac:dyDescent="0.3">
      <c r="L7" s="175"/>
      <c r="M7" s="176"/>
      <c r="N7" s="175"/>
      <c r="O7" s="175"/>
      <c r="S7" s="170"/>
      <c r="T7" s="173"/>
      <c r="W7" s="173"/>
      <c r="X7" s="177"/>
      <c r="Y7" s="178"/>
      <c r="Z7" s="178"/>
      <c r="AA7" s="178"/>
      <c r="AB7" s="179"/>
      <c r="AC7" s="180"/>
    </row>
    <row r="8" spans="1:31" s="49" customFormat="1" ht="42.75" customHeight="1" x14ac:dyDescent="0.25">
      <c r="A8" s="75" t="s">
        <v>61</v>
      </c>
      <c r="B8" s="75" t="s">
        <v>3</v>
      </c>
      <c r="C8" s="75" t="s">
        <v>64</v>
      </c>
      <c r="D8" s="181" t="s">
        <v>56</v>
      </c>
      <c r="E8" s="181" t="s">
        <v>297</v>
      </c>
      <c r="F8" s="75" t="s">
        <v>298</v>
      </c>
      <c r="G8" s="78" t="s">
        <v>39</v>
      </c>
      <c r="H8" s="181" t="s">
        <v>35</v>
      </c>
      <c r="I8" s="181" t="s">
        <v>357</v>
      </c>
      <c r="J8" s="75"/>
      <c r="K8" s="75" t="s">
        <v>37</v>
      </c>
      <c r="L8" s="75" t="s">
        <v>38</v>
      </c>
      <c r="M8" s="67" t="s">
        <v>71</v>
      </c>
      <c r="N8" s="67" t="s">
        <v>72</v>
      </c>
      <c r="O8" s="67" t="s">
        <v>73</v>
      </c>
      <c r="P8" s="75" t="s">
        <v>32</v>
      </c>
      <c r="Q8" s="75" t="s">
        <v>55</v>
      </c>
      <c r="R8" s="75" t="s">
        <v>68</v>
      </c>
      <c r="S8" s="181" t="s">
        <v>4</v>
      </c>
      <c r="T8" s="75" t="s">
        <v>70</v>
      </c>
      <c r="U8" s="71" t="s">
        <v>49</v>
      </c>
      <c r="V8" s="71" t="s">
        <v>50</v>
      </c>
      <c r="W8" s="71" t="s">
        <v>51</v>
      </c>
      <c r="X8" s="182"/>
      <c r="Y8" s="71" t="s">
        <v>52</v>
      </c>
      <c r="Z8" s="71"/>
      <c r="AA8" s="79" t="s">
        <v>53</v>
      </c>
      <c r="AB8" s="183" t="s">
        <v>44</v>
      </c>
      <c r="AC8" s="181" t="s">
        <v>5</v>
      </c>
      <c r="AE8" s="181" t="s">
        <v>433</v>
      </c>
    </row>
    <row r="9" spans="1:31" s="191" customFormat="1" ht="30.75" customHeight="1" x14ac:dyDescent="0.25">
      <c r="A9" s="134">
        <v>1</v>
      </c>
      <c r="B9" s="134" t="s">
        <v>6</v>
      </c>
      <c r="C9" s="184" t="s">
        <v>166</v>
      </c>
      <c r="D9" s="184" t="s">
        <v>166</v>
      </c>
      <c r="E9" s="133" t="s">
        <v>158</v>
      </c>
      <c r="F9" s="185" t="s">
        <v>157</v>
      </c>
      <c r="G9" s="134"/>
      <c r="H9" s="186" t="s">
        <v>129</v>
      </c>
      <c r="I9" s="186" t="s">
        <v>320</v>
      </c>
      <c r="J9" s="134"/>
      <c r="K9" s="134">
        <v>75</v>
      </c>
      <c r="L9" s="134">
        <v>0</v>
      </c>
      <c r="M9" s="134" t="s">
        <v>74</v>
      </c>
      <c r="N9" s="134"/>
      <c r="O9" s="187"/>
      <c r="P9" s="134" t="s">
        <v>33</v>
      </c>
      <c r="Q9" s="188"/>
      <c r="R9" s="133">
        <v>18</v>
      </c>
      <c r="S9" s="186" t="s">
        <v>169</v>
      </c>
      <c r="T9" s="134"/>
      <c r="U9" s="189"/>
      <c r="V9" s="189"/>
      <c r="W9" s="189"/>
      <c r="X9" s="190"/>
      <c r="Y9" s="189"/>
      <c r="Z9" s="189"/>
      <c r="AA9" s="134"/>
      <c r="AB9" s="190"/>
      <c r="AC9" s="134" t="s">
        <v>295</v>
      </c>
      <c r="AD9" s="134" t="s">
        <v>171</v>
      </c>
    </row>
    <row r="10" spans="1:31" s="191" customFormat="1" ht="30.75" customHeight="1" x14ac:dyDescent="0.25">
      <c r="A10" s="134">
        <v>2</v>
      </c>
      <c r="B10" s="134" t="s">
        <v>6</v>
      </c>
      <c r="C10" s="184" t="s">
        <v>166</v>
      </c>
      <c r="D10" s="184" t="s">
        <v>166</v>
      </c>
      <c r="E10" s="133" t="s">
        <v>237</v>
      </c>
      <c r="F10" s="185" t="s">
        <v>299</v>
      </c>
      <c r="G10" s="134"/>
      <c r="H10" s="186" t="s">
        <v>129</v>
      </c>
      <c r="I10" s="186" t="s">
        <v>320</v>
      </c>
      <c r="J10" s="134"/>
      <c r="K10" s="134">
        <v>0</v>
      </c>
      <c r="L10" s="134">
        <v>75</v>
      </c>
      <c r="M10" s="134"/>
      <c r="N10" s="134" t="s">
        <v>74</v>
      </c>
      <c r="O10" s="187"/>
      <c r="P10" s="134" t="s">
        <v>33</v>
      </c>
      <c r="Q10" s="188"/>
      <c r="R10" s="133">
        <v>18</v>
      </c>
      <c r="S10" s="186" t="s">
        <v>169</v>
      </c>
      <c r="T10" s="134"/>
      <c r="U10" s="189"/>
      <c r="V10" s="189"/>
      <c r="W10" s="189"/>
      <c r="X10" s="190"/>
      <c r="Y10" s="189"/>
      <c r="Z10" s="189"/>
      <c r="AA10" s="134"/>
      <c r="AB10" s="190"/>
      <c r="AC10" s="134" t="s">
        <v>295</v>
      </c>
    </row>
    <row r="11" spans="1:31" s="191" customFormat="1" ht="30.75" customHeight="1" x14ac:dyDescent="0.25">
      <c r="A11" s="134">
        <v>3</v>
      </c>
      <c r="B11" s="134" t="s">
        <v>6</v>
      </c>
      <c r="C11" s="184" t="s">
        <v>166</v>
      </c>
      <c r="D11" s="184" t="s">
        <v>166</v>
      </c>
      <c r="E11" s="133" t="s">
        <v>312</v>
      </c>
      <c r="F11" s="185" t="s">
        <v>300</v>
      </c>
      <c r="G11" s="134"/>
      <c r="H11" s="186" t="s">
        <v>129</v>
      </c>
      <c r="I11" s="186" t="s">
        <v>321</v>
      </c>
      <c r="J11" s="134"/>
      <c r="K11" s="134">
        <v>45</v>
      </c>
      <c r="L11" s="134">
        <v>0</v>
      </c>
      <c r="M11" s="134" t="s">
        <v>74</v>
      </c>
      <c r="N11" s="134"/>
      <c r="O11" s="187"/>
      <c r="P11" s="134" t="s">
        <v>33</v>
      </c>
      <c r="Q11" s="188"/>
      <c r="R11" s="133">
        <v>18</v>
      </c>
      <c r="S11" s="186" t="s">
        <v>169</v>
      </c>
      <c r="T11" s="134"/>
      <c r="U11" s="189"/>
      <c r="V11" s="189"/>
      <c r="W11" s="189"/>
      <c r="X11" s="190"/>
      <c r="Y11" s="189"/>
      <c r="Z11" s="189"/>
      <c r="AA11" s="134"/>
      <c r="AB11" s="190"/>
      <c r="AC11" s="134" t="s">
        <v>295</v>
      </c>
    </row>
    <row r="12" spans="1:31" s="191" customFormat="1" ht="30.75" customHeight="1" x14ac:dyDescent="0.25">
      <c r="A12" s="134">
        <v>4</v>
      </c>
      <c r="B12" s="134" t="s">
        <v>6</v>
      </c>
      <c r="C12" s="184" t="s">
        <v>166</v>
      </c>
      <c r="D12" s="184" t="s">
        <v>166</v>
      </c>
      <c r="E12" s="133" t="s">
        <v>313</v>
      </c>
      <c r="F12" s="185" t="s">
        <v>301</v>
      </c>
      <c r="G12" s="134"/>
      <c r="H12" s="186" t="s">
        <v>129</v>
      </c>
      <c r="I12" s="186" t="s">
        <v>320</v>
      </c>
      <c r="J12" s="134"/>
      <c r="K12" s="134">
        <v>75</v>
      </c>
      <c r="L12" s="134">
        <v>0</v>
      </c>
      <c r="M12" s="134" t="s">
        <v>74</v>
      </c>
      <c r="N12" s="134"/>
      <c r="O12" s="187"/>
      <c r="P12" s="134" t="s">
        <v>33</v>
      </c>
      <c r="Q12" s="188"/>
      <c r="R12" s="133">
        <v>18</v>
      </c>
      <c r="S12" s="186" t="s">
        <v>169</v>
      </c>
      <c r="T12" s="134"/>
      <c r="U12" s="189"/>
      <c r="V12" s="189"/>
      <c r="W12" s="189"/>
      <c r="X12" s="190"/>
      <c r="Y12" s="189"/>
      <c r="Z12" s="189"/>
      <c r="AA12" s="134"/>
      <c r="AB12" s="190"/>
      <c r="AC12" s="134" t="s">
        <v>295</v>
      </c>
    </row>
    <row r="13" spans="1:31" s="191" customFormat="1" ht="30.75" customHeight="1" x14ac:dyDescent="0.25">
      <c r="A13" s="134">
        <v>5</v>
      </c>
      <c r="B13" s="134" t="s">
        <v>6</v>
      </c>
      <c r="C13" s="184" t="s">
        <v>166</v>
      </c>
      <c r="D13" s="184" t="s">
        <v>166</v>
      </c>
      <c r="E13" s="133" t="s">
        <v>314</v>
      </c>
      <c r="F13" s="185" t="s">
        <v>302</v>
      </c>
      <c r="G13" s="134"/>
      <c r="H13" s="186" t="s">
        <v>129</v>
      </c>
      <c r="I13" s="186" t="s">
        <v>322</v>
      </c>
      <c r="J13" s="134"/>
      <c r="K13" s="134">
        <v>0</v>
      </c>
      <c r="L13" s="134">
        <v>60</v>
      </c>
      <c r="M13" s="134"/>
      <c r="N13" s="134" t="s">
        <v>74</v>
      </c>
      <c r="O13" s="187"/>
      <c r="P13" s="134" t="s">
        <v>33</v>
      </c>
      <c r="Q13" s="188"/>
      <c r="R13" s="133">
        <v>18</v>
      </c>
      <c r="S13" s="186" t="s">
        <v>169</v>
      </c>
      <c r="T13" s="134"/>
      <c r="U13" s="189"/>
      <c r="V13" s="189"/>
      <c r="W13" s="189"/>
      <c r="X13" s="190"/>
      <c r="Y13" s="189"/>
      <c r="Z13" s="189"/>
      <c r="AA13" s="134"/>
      <c r="AB13" s="190"/>
      <c r="AC13" s="134" t="s">
        <v>295</v>
      </c>
    </row>
    <row r="14" spans="1:31" s="191" customFormat="1" ht="30.75" customHeight="1" x14ac:dyDescent="0.25">
      <c r="A14" s="134">
        <v>6</v>
      </c>
      <c r="B14" s="134" t="s">
        <v>6</v>
      </c>
      <c r="C14" s="184" t="s">
        <v>166</v>
      </c>
      <c r="D14" s="184" t="s">
        <v>166</v>
      </c>
      <c r="E14" s="133" t="s">
        <v>315</v>
      </c>
      <c r="F14" s="185" t="s">
        <v>303</v>
      </c>
      <c r="G14" s="134"/>
      <c r="H14" s="186" t="s">
        <v>129</v>
      </c>
      <c r="I14" s="186" t="s">
        <v>322</v>
      </c>
      <c r="J14" s="134"/>
      <c r="K14" s="134">
        <v>60</v>
      </c>
      <c r="L14" s="134">
        <v>0</v>
      </c>
      <c r="M14" s="134" t="s">
        <v>74</v>
      </c>
      <c r="N14" s="134"/>
      <c r="O14" s="187"/>
      <c r="P14" s="134" t="s">
        <v>33</v>
      </c>
      <c r="Q14" s="188"/>
      <c r="R14" s="133">
        <v>18</v>
      </c>
      <c r="S14" s="186" t="s">
        <v>169</v>
      </c>
      <c r="T14" s="134"/>
      <c r="U14" s="189"/>
      <c r="V14" s="189"/>
      <c r="W14" s="189"/>
      <c r="X14" s="190"/>
      <c r="Y14" s="189"/>
      <c r="Z14" s="189"/>
      <c r="AA14" s="134"/>
      <c r="AB14" s="190"/>
      <c r="AC14" s="134" t="s">
        <v>295</v>
      </c>
    </row>
    <row r="15" spans="1:31" s="192" customFormat="1" ht="30.75" customHeight="1" x14ac:dyDescent="0.25">
      <c r="A15" s="134">
        <v>7</v>
      </c>
      <c r="B15" s="134" t="s">
        <v>6</v>
      </c>
      <c r="C15" s="184" t="s">
        <v>166</v>
      </c>
      <c r="D15" s="184" t="s">
        <v>166</v>
      </c>
      <c r="E15" s="133" t="s">
        <v>247</v>
      </c>
      <c r="F15" s="185" t="s">
        <v>304</v>
      </c>
      <c r="G15" s="134"/>
      <c r="H15" s="186" t="s">
        <v>123</v>
      </c>
      <c r="I15" s="186" t="s">
        <v>322</v>
      </c>
      <c r="J15" s="134"/>
      <c r="K15" s="134">
        <v>75</v>
      </c>
      <c r="L15" s="134">
        <v>0</v>
      </c>
      <c r="M15" s="134" t="s">
        <v>74</v>
      </c>
      <c r="N15" s="134"/>
      <c r="O15" s="187"/>
      <c r="P15" s="134" t="s">
        <v>33</v>
      </c>
      <c r="Q15" s="188"/>
      <c r="R15" s="133">
        <v>18</v>
      </c>
      <c r="S15" s="186" t="s">
        <v>169</v>
      </c>
      <c r="T15" s="134"/>
      <c r="U15" s="189"/>
      <c r="V15" s="189"/>
      <c r="W15" s="189"/>
      <c r="X15" s="190"/>
      <c r="Y15" s="189"/>
      <c r="Z15" s="189"/>
      <c r="AA15" s="134"/>
      <c r="AB15" s="190"/>
      <c r="AC15" s="186" t="s">
        <v>295</v>
      </c>
    </row>
    <row r="16" spans="1:31" s="192" customFormat="1" ht="30.75" customHeight="1" x14ac:dyDescent="0.25">
      <c r="A16" s="134">
        <v>8</v>
      </c>
      <c r="B16" s="134" t="s">
        <v>6</v>
      </c>
      <c r="C16" s="184" t="s">
        <v>166</v>
      </c>
      <c r="D16" s="184" t="s">
        <v>166</v>
      </c>
      <c r="E16" s="133" t="s">
        <v>316</v>
      </c>
      <c r="F16" s="185" t="s">
        <v>305</v>
      </c>
      <c r="G16" s="134"/>
      <c r="H16" s="186" t="s">
        <v>36</v>
      </c>
      <c r="I16" s="186" t="s">
        <v>323</v>
      </c>
      <c r="J16" s="134"/>
      <c r="K16" s="134">
        <v>60</v>
      </c>
      <c r="L16" s="134">
        <v>0</v>
      </c>
      <c r="M16" s="134" t="s">
        <v>74</v>
      </c>
      <c r="N16" s="134"/>
      <c r="O16" s="187"/>
      <c r="P16" s="134" t="s">
        <v>33</v>
      </c>
      <c r="Q16" s="188"/>
      <c r="R16" s="133">
        <v>18</v>
      </c>
      <c r="S16" s="186" t="s">
        <v>169</v>
      </c>
      <c r="T16" s="134"/>
      <c r="U16" s="189"/>
      <c r="V16" s="189"/>
      <c r="W16" s="189"/>
      <c r="X16" s="190"/>
      <c r="Y16" s="189"/>
      <c r="Z16" s="189"/>
      <c r="AA16" s="134"/>
      <c r="AB16" s="190"/>
      <c r="AC16" s="134" t="s">
        <v>295</v>
      </c>
    </row>
    <row r="17" spans="1:29" s="192" customFormat="1" ht="30.75" customHeight="1" x14ac:dyDescent="0.25">
      <c r="A17" s="134">
        <v>9</v>
      </c>
      <c r="B17" s="134" t="s">
        <v>6</v>
      </c>
      <c r="C17" s="184" t="s">
        <v>136</v>
      </c>
      <c r="D17" s="184" t="s">
        <v>136</v>
      </c>
      <c r="E17" s="133" t="s">
        <v>149</v>
      </c>
      <c r="F17" s="185" t="s">
        <v>155</v>
      </c>
      <c r="G17" s="134"/>
      <c r="H17" s="186" t="s">
        <v>129</v>
      </c>
      <c r="I17" s="186" t="s">
        <v>324</v>
      </c>
      <c r="J17" s="134"/>
      <c r="K17" s="134">
        <v>75</v>
      </c>
      <c r="L17" s="134">
        <v>0</v>
      </c>
      <c r="M17" s="134" t="s">
        <v>74</v>
      </c>
      <c r="N17" s="134"/>
      <c r="O17" s="187"/>
      <c r="P17" s="134" t="s">
        <v>33</v>
      </c>
      <c r="Q17" s="188"/>
      <c r="R17" s="133">
        <v>18</v>
      </c>
      <c r="S17" s="186" t="s">
        <v>160</v>
      </c>
      <c r="T17" s="134"/>
      <c r="U17" s="189"/>
      <c r="V17" s="189"/>
      <c r="W17" s="189"/>
      <c r="X17" s="190"/>
      <c r="Y17" s="189"/>
      <c r="Z17" s="189"/>
      <c r="AA17" s="134"/>
      <c r="AB17" s="190"/>
      <c r="AC17" s="134" t="s">
        <v>295</v>
      </c>
    </row>
    <row r="18" spans="1:29" s="192" customFormat="1" ht="30.75" customHeight="1" x14ac:dyDescent="0.25">
      <c r="A18" s="134">
        <v>10</v>
      </c>
      <c r="B18" s="134" t="s">
        <v>6</v>
      </c>
      <c r="C18" s="184" t="s">
        <v>136</v>
      </c>
      <c r="D18" s="184" t="s">
        <v>136</v>
      </c>
      <c r="E18" s="133" t="s">
        <v>317</v>
      </c>
      <c r="F18" s="185" t="s">
        <v>306</v>
      </c>
      <c r="G18" s="134"/>
      <c r="H18" s="186" t="s">
        <v>129</v>
      </c>
      <c r="I18" s="186" t="s">
        <v>324</v>
      </c>
      <c r="J18" s="134"/>
      <c r="K18" s="134">
        <v>75</v>
      </c>
      <c r="L18" s="134">
        <v>0</v>
      </c>
      <c r="M18" s="134" t="s">
        <v>74</v>
      </c>
      <c r="N18" s="134"/>
      <c r="O18" s="187"/>
      <c r="P18" s="134" t="s">
        <v>33</v>
      </c>
      <c r="Q18" s="188"/>
      <c r="R18" s="133">
        <v>18</v>
      </c>
      <c r="S18" s="186" t="s">
        <v>160</v>
      </c>
      <c r="T18" s="134"/>
      <c r="U18" s="189"/>
      <c r="V18" s="189"/>
      <c r="W18" s="189"/>
      <c r="X18" s="190"/>
      <c r="Y18" s="189"/>
      <c r="Z18" s="189"/>
      <c r="AA18" s="134"/>
      <c r="AB18" s="190"/>
      <c r="AC18" s="134" t="s">
        <v>295</v>
      </c>
    </row>
    <row r="19" spans="1:29" s="192" customFormat="1" ht="30.75" customHeight="1" x14ac:dyDescent="0.25">
      <c r="A19" s="134">
        <v>11</v>
      </c>
      <c r="B19" s="134" t="s">
        <v>6</v>
      </c>
      <c r="C19" s="184" t="s">
        <v>136</v>
      </c>
      <c r="D19" s="184" t="s">
        <v>136</v>
      </c>
      <c r="E19" s="133" t="s">
        <v>151</v>
      </c>
      <c r="F19" s="185" t="s">
        <v>307</v>
      </c>
      <c r="G19" s="134"/>
      <c r="H19" s="186" t="s">
        <v>129</v>
      </c>
      <c r="I19" s="186" t="s">
        <v>324</v>
      </c>
      <c r="J19" s="134"/>
      <c r="K19" s="134">
        <v>75</v>
      </c>
      <c r="L19" s="134">
        <v>0</v>
      </c>
      <c r="M19" s="134" t="s">
        <v>74</v>
      </c>
      <c r="N19" s="134"/>
      <c r="O19" s="187"/>
      <c r="P19" s="134" t="s">
        <v>33</v>
      </c>
      <c r="Q19" s="188"/>
      <c r="R19" s="133">
        <v>18</v>
      </c>
      <c r="S19" s="186" t="s">
        <v>160</v>
      </c>
      <c r="T19" s="134"/>
      <c r="U19" s="189"/>
      <c r="V19" s="189"/>
      <c r="W19" s="189"/>
      <c r="X19" s="190"/>
      <c r="Y19" s="189"/>
      <c r="Z19" s="189"/>
      <c r="AA19" s="134"/>
      <c r="AB19" s="190"/>
      <c r="AC19" s="134" t="s">
        <v>295</v>
      </c>
    </row>
    <row r="20" spans="1:29" s="192" customFormat="1" ht="30.75" customHeight="1" x14ac:dyDescent="0.25">
      <c r="A20" s="134">
        <v>12</v>
      </c>
      <c r="B20" s="134" t="s">
        <v>6</v>
      </c>
      <c r="C20" s="184" t="s">
        <v>136</v>
      </c>
      <c r="D20" s="184" t="s">
        <v>136</v>
      </c>
      <c r="E20" s="133" t="s">
        <v>141</v>
      </c>
      <c r="F20" s="185" t="s">
        <v>308</v>
      </c>
      <c r="G20" s="134"/>
      <c r="H20" s="186" t="s">
        <v>129</v>
      </c>
      <c r="I20" s="186" t="s">
        <v>325</v>
      </c>
      <c r="J20" s="134"/>
      <c r="K20" s="134">
        <v>75</v>
      </c>
      <c r="L20" s="134">
        <v>0</v>
      </c>
      <c r="M20" s="134" t="s">
        <v>74</v>
      </c>
      <c r="N20" s="134"/>
      <c r="O20" s="187"/>
      <c r="P20" s="134" t="s">
        <v>33</v>
      </c>
      <c r="Q20" s="188"/>
      <c r="R20" s="133">
        <v>18</v>
      </c>
      <c r="S20" s="186" t="s">
        <v>160</v>
      </c>
      <c r="T20" s="134"/>
      <c r="U20" s="189"/>
      <c r="V20" s="189"/>
      <c r="W20" s="189"/>
      <c r="X20" s="190"/>
      <c r="Y20" s="189"/>
      <c r="Z20" s="189"/>
      <c r="AA20" s="134"/>
      <c r="AB20" s="190"/>
      <c r="AC20" s="134" t="s">
        <v>295</v>
      </c>
    </row>
    <row r="21" spans="1:29" s="191" customFormat="1" ht="30.75" customHeight="1" x14ac:dyDescent="0.25">
      <c r="A21" s="134">
        <v>13</v>
      </c>
      <c r="B21" s="134" t="s">
        <v>6</v>
      </c>
      <c r="C21" s="184" t="s">
        <v>136</v>
      </c>
      <c r="D21" s="184" t="s">
        <v>136</v>
      </c>
      <c r="E21" s="133" t="s">
        <v>247</v>
      </c>
      <c r="F21" s="185" t="s">
        <v>304</v>
      </c>
      <c r="G21" s="185"/>
      <c r="H21" s="186" t="s">
        <v>123</v>
      </c>
      <c r="I21" s="186" t="s">
        <v>322</v>
      </c>
      <c r="J21" s="134"/>
      <c r="K21" s="134">
        <v>75</v>
      </c>
      <c r="L21" s="134">
        <v>0</v>
      </c>
      <c r="M21" s="134" t="s">
        <v>74</v>
      </c>
      <c r="N21" s="187"/>
      <c r="O21" s="187"/>
      <c r="P21" s="134" t="s">
        <v>33</v>
      </c>
      <c r="Q21" s="188"/>
      <c r="R21" s="133">
        <v>18</v>
      </c>
      <c r="S21" s="186" t="s">
        <v>160</v>
      </c>
      <c r="T21" s="134"/>
      <c r="U21" s="189"/>
      <c r="V21" s="189"/>
      <c r="W21" s="189"/>
      <c r="X21" s="190"/>
      <c r="Y21" s="189"/>
      <c r="Z21" s="189"/>
      <c r="AA21" s="134"/>
      <c r="AB21" s="190"/>
      <c r="AC21" s="186" t="s">
        <v>295</v>
      </c>
    </row>
    <row r="22" spans="1:29" s="191" customFormat="1" ht="30.75" customHeight="1" x14ac:dyDescent="0.25">
      <c r="A22" s="134">
        <v>14</v>
      </c>
      <c r="B22" s="134" t="s">
        <v>6</v>
      </c>
      <c r="C22" s="184" t="s">
        <v>136</v>
      </c>
      <c r="D22" s="184" t="s">
        <v>136</v>
      </c>
      <c r="E22" s="133" t="s">
        <v>316</v>
      </c>
      <c r="F22" s="185" t="s">
        <v>305</v>
      </c>
      <c r="G22" s="185"/>
      <c r="H22" s="134" t="s">
        <v>36</v>
      </c>
      <c r="I22" s="134" t="s">
        <v>323</v>
      </c>
      <c r="J22" s="134"/>
      <c r="K22" s="134">
        <v>60</v>
      </c>
      <c r="L22" s="134">
        <v>0</v>
      </c>
      <c r="M22" s="134" t="s">
        <v>74</v>
      </c>
      <c r="N22" s="187"/>
      <c r="O22" s="187"/>
      <c r="P22" s="134" t="s">
        <v>33</v>
      </c>
      <c r="Q22" s="188"/>
      <c r="R22" s="133">
        <v>18</v>
      </c>
      <c r="S22" s="186" t="s">
        <v>160</v>
      </c>
      <c r="T22" s="134"/>
      <c r="U22" s="189"/>
      <c r="V22" s="189"/>
      <c r="W22" s="189"/>
      <c r="X22" s="190"/>
      <c r="Y22" s="189"/>
      <c r="Z22" s="189"/>
      <c r="AA22" s="134"/>
      <c r="AB22" s="190"/>
      <c r="AC22" s="134" t="s">
        <v>295</v>
      </c>
    </row>
    <row r="23" spans="1:29" s="191" customFormat="1" ht="30.75" customHeight="1" x14ac:dyDescent="0.25">
      <c r="A23" s="134">
        <v>15</v>
      </c>
      <c r="B23" s="134" t="s">
        <v>6</v>
      </c>
      <c r="C23" s="184" t="s">
        <v>329</v>
      </c>
      <c r="D23" s="184" t="s">
        <v>149</v>
      </c>
      <c r="E23" s="133" t="s">
        <v>158</v>
      </c>
      <c r="F23" s="185" t="s">
        <v>157</v>
      </c>
      <c r="G23" s="185"/>
      <c r="H23" s="134" t="s">
        <v>129</v>
      </c>
      <c r="I23" s="134" t="s">
        <v>325</v>
      </c>
      <c r="J23" s="134"/>
      <c r="K23" s="134">
        <v>75</v>
      </c>
      <c r="L23" s="134">
        <v>0</v>
      </c>
      <c r="M23" s="134" t="s">
        <v>74</v>
      </c>
      <c r="N23" s="187"/>
      <c r="O23" s="187"/>
      <c r="P23" s="134" t="s">
        <v>33</v>
      </c>
      <c r="Q23" s="188"/>
      <c r="R23" s="133">
        <v>18</v>
      </c>
      <c r="S23" s="186" t="s">
        <v>328</v>
      </c>
      <c r="T23" s="134"/>
      <c r="U23" s="189"/>
      <c r="V23" s="189"/>
      <c r="W23" s="189"/>
      <c r="X23" s="190"/>
      <c r="Y23" s="189"/>
      <c r="Z23" s="189"/>
      <c r="AA23" s="134"/>
      <c r="AB23" s="190"/>
      <c r="AC23" s="134" t="s">
        <v>295</v>
      </c>
    </row>
    <row r="24" spans="1:29" s="191" customFormat="1" ht="30.75" customHeight="1" x14ac:dyDescent="0.25">
      <c r="A24" s="134">
        <v>16</v>
      </c>
      <c r="B24" s="134" t="s">
        <v>6</v>
      </c>
      <c r="C24" s="184" t="s">
        <v>329</v>
      </c>
      <c r="D24" s="184" t="s">
        <v>149</v>
      </c>
      <c r="E24" s="133" t="s">
        <v>318</v>
      </c>
      <c r="F24" s="185" t="s">
        <v>309</v>
      </c>
      <c r="G24" s="185"/>
      <c r="H24" s="134" t="s">
        <v>129</v>
      </c>
      <c r="I24" s="134" t="s">
        <v>326</v>
      </c>
      <c r="J24" s="134"/>
      <c r="K24" s="134">
        <v>60</v>
      </c>
      <c r="L24" s="134">
        <v>0</v>
      </c>
      <c r="M24" s="134" t="s">
        <v>74</v>
      </c>
      <c r="N24" s="187"/>
      <c r="O24" s="187"/>
      <c r="P24" s="134" t="s">
        <v>33</v>
      </c>
      <c r="Q24" s="188"/>
      <c r="R24" s="133">
        <v>18</v>
      </c>
      <c r="S24" s="186" t="s">
        <v>328</v>
      </c>
      <c r="T24" s="134"/>
      <c r="U24" s="189"/>
      <c r="V24" s="189"/>
      <c r="W24" s="189"/>
      <c r="X24" s="190"/>
      <c r="Y24" s="189"/>
      <c r="Z24" s="189"/>
      <c r="AA24" s="134"/>
      <c r="AB24" s="190"/>
      <c r="AC24" s="134" t="s">
        <v>295</v>
      </c>
    </row>
    <row r="25" spans="1:29" s="191" customFormat="1" ht="30.75" customHeight="1" x14ac:dyDescent="0.25">
      <c r="A25" s="134">
        <v>17</v>
      </c>
      <c r="B25" s="134" t="s">
        <v>6</v>
      </c>
      <c r="C25" s="184" t="s">
        <v>329</v>
      </c>
      <c r="D25" s="184" t="s">
        <v>149</v>
      </c>
      <c r="E25" s="133" t="s">
        <v>319</v>
      </c>
      <c r="F25" s="185" t="s">
        <v>308</v>
      </c>
      <c r="G25" s="185"/>
      <c r="H25" s="134" t="s">
        <v>129</v>
      </c>
      <c r="I25" s="134" t="s">
        <v>325</v>
      </c>
      <c r="J25" s="134"/>
      <c r="K25" s="134">
        <v>75</v>
      </c>
      <c r="L25" s="134">
        <v>0</v>
      </c>
      <c r="M25" s="134" t="s">
        <v>74</v>
      </c>
      <c r="N25" s="187"/>
      <c r="O25" s="187"/>
      <c r="P25" s="134" t="s">
        <v>33</v>
      </c>
      <c r="Q25" s="188"/>
      <c r="R25" s="133">
        <v>18</v>
      </c>
      <c r="S25" s="186" t="s">
        <v>328</v>
      </c>
      <c r="T25" s="134"/>
      <c r="U25" s="189"/>
      <c r="V25" s="189"/>
      <c r="W25" s="189"/>
      <c r="X25" s="190"/>
      <c r="Y25" s="189"/>
      <c r="Z25" s="189"/>
      <c r="AA25" s="134"/>
      <c r="AB25" s="190"/>
      <c r="AC25" s="134" t="s">
        <v>295</v>
      </c>
    </row>
    <row r="26" spans="1:29" s="191" customFormat="1" ht="30.75" customHeight="1" x14ac:dyDescent="0.25">
      <c r="A26" s="134">
        <v>18</v>
      </c>
      <c r="B26" s="134" t="s">
        <v>6</v>
      </c>
      <c r="C26" s="184" t="s">
        <v>329</v>
      </c>
      <c r="D26" s="184" t="s">
        <v>149</v>
      </c>
      <c r="E26" s="133" t="s">
        <v>269</v>
      </c>
      <c r="F26" s="185" t="s">
        <v>310</v>
      </c>
      <c r="G26" s="185"/>
      <c r="H26" s="134" t="s">
        <v>129</v>
      </c>
      <c r="I26" s="134" t="s">
        <v>325</v>
      </c>
      <c r="J26" s="134"/>
      <c r="K26" s="134">
        <v>75</v>
      </c>
      <c r="L26" s="134">
        <v>0</v>
      </c>
      <c r="M26" s="134" t="s">
        <v>74</v>
      </c>
      <c r="N26" s="187"/>
      <c r="O26" s="187"/>
      <c r="P26" s="134" t="s">
        <v>33</v>
      </c>
      <c r="Q26" s="188"/>
      <c r="R26" s="133">
        <v>18</v>
      </c>
      <c r="S26" s="186" t="s">
        <v>328</v>
      </c>
      <c r="T26" s="134"/>
      <c r="U26" s="189"/>
      <c r="V26" s="189"/>
      <c r="W26" s="189"/>
      <c r="X26" s="190"/>
      <c r="Y26" s="189"/>
      <c r="Z26" s="189"/>
      <c r="AA26" s="134"/>
      <c r="AB26" s="190"/>
      <c r="AC26" s="134" t="s">
        <v>295</v>
      </c>
    </row>
    <row r="27" spans="1:29" s="192" customFormat="1" ht="30.75" customHeight="1" x14ac:dyDescent="0.25">
      <c r="A27" s="134">
        <v>19</v>
      </c>
      <c r="B27" s="134" t="s">
        <v>6</v>
      </c>
      <c r="C27" s="184" t="s">
        <v>329</v>
      </c>
      <c r="D27" s="184" t="s">
        <v>149</v>
      </c>
      <c r="E27" s="133" t="s">
        <v>140</v>
      </c>
      <c r="F27" s="185" t="s">
        <v>311</v>
      </c>
      <c r="G27" s="185"/>
      <c r="H27" s="186" t="s">
        <v>129</v>
      </c>
      <c r="I27" s="186" t="s">
        <v>325</v>
      </c>
      <c r="J27" s="134"/>
      <c r="K27" s="134">
        <v>75</v>
      </c>
      <c r="L27" s="134">
        <v>0</v>
      </c>
      <c r="M27" s="134" t="s">
        <v>74</v>
      </c>
      <c r="N27" s="187"/>
      <c r="O27" s="134"/>
      <c r="P27" s="134" t="s">
        <v>33</v>
      </c>
      <c r="Q27" s="188"/>
      <c r="R27" s="133">
        <v>18</v>
      </c>
      <c r="S27" s="186" t="s">
        <v>328</v>
      </c>
      <c r="T27" s="134"/>
      <c r="U27" s="189"/>
      <c r="V27" s="189"/>
      <c r="W27" s="189"/>
      <c r="X27" s="190"/>
      <c r="Y27" s="189"/>
      <c r="Z27" s="189"/>
      <c r="AA27" s="134"/>
      <c r="AB27" s="190"/>
      <c r="AC27" s="134" t="s">
        <v>295</v>
      </c>
    </row>
    <row r="28" spans="1:29" s="192" customFormat="1" ht="30.75" customHeight="1" x14ac:dyDescent="0.25">
      <c r="A28" s="134">
        <v>20</v>
      </c>
      <c r="B28" s="134" t="s">
        <v>6</v>
      </c>
      <c r="C28" s="184" t="s">
        <v>329</v>
      </c>
      <c r="D28" s="184" t="s">
        <v>149</v>
      </c>
      <c r="E28" s="133" t="s">
        <v>247</v>
      </c>
      <c r="F28" s="185" t="s">
        <v>304</v>
      </c>
      <c r="G28" s="185"/>
      <c r="H28" s="186" t="s">
        <v>123</v>
      </c>
      <c r="I28" s="186" t="s">
        <v>322</v>
      </c>
      <c r="J28" s="134"/>
      <c r="K28" s="134">
        <v>75</v>
      </c>
      <c r="L28" s="134">
        <v>0</v>
      </c>
      <c r="M28" s="134" t="s">
        <v>74</v>
      </c>
      <c r="N28" s="187"/>
      <c r="O28" s="134"/>
      <c r="P28" s="134" t="s">
        <v>33</v>
      </c>
      <c r="Q28" s="188"/>
      <c r="R28" s="133">
        <v>18</v>
      </c>
      <c r="S28" s="186" t="s">
        <v>328</v>
      </c>
      <c r="T28" s="134"/>
      <c r="U28" s="189"/>
      <c r="V28" s="189"/>
      <c r="W28" s="189"/>
      <c r="X28" s="190"/>
      <c r="Y28" s="189"/>
      <c r="Z28" s="189"/>
      <c r="AA28" s="134"/>
      <c r="AB28" s="190"/>
      <c r="AC28" s="134" t="s">
        <v>295</v>
      </c>
    </row>
    <row r="29" spans="1:29" s="192" customFormat="1" ht="30.75" customHeight="1" x14ac:dyDescent="0.25">
      <c r="A29" s="134">
        <v>21</v>
      </c>
      <c r="B29" s="134" t="s">
        <v>6</v>
      </c>
      <c r="C29" s="184" t="s">
        <v>329</v>
      </c>
      <c r="D29" s="184" t="s">
        <v>149</v>
      </c>
      <c r="E29" s="133" t="s">
        <v>316</v>
      </c>
      <c r="F29" s="185" t="s">
        <v>305</v>
      </c>
      <c r="G29" s="185"/>
      <c r="H29" s="186" t="s">
        <v>36</v>
      </c>
      <c r="I29" s="186" t="s">
        <v>323</v>
      </c>
      <c r="J29" s="134"/>
      <c r="K29" s="134">
        <v>60</v>
      </c>
      <c r="L29" s="134">
        <v>0</v>
      </c>
      <c r="M29" s="134" t="s">
        <v>74</v>
      </c>
      <c r="N29" s="187"/>
      <c r="O29" s="134"/>
      <c r="P29" s="134" t="s">
        <v>33</v>
      </c>
      <c r="Q29" s="188"/>
      <c r="R29" s="133">
        <v>18</v>
      </c>
      <c r="S29" s="186" t="s">
        <v>328</v>
      </c>
      <c r="T29" s="134"/>
      <c r="U29" s="189"/>
      <c r="V29" s="189"/>
      <c r="W29" s="189"/>
      <c r="X29" s="190"/>
      <c r="Y29" s="189"/>
      <c r="Z29" s="189"/>
      <c r="AA29" s="134"/>
      <c r="AB29" s="190"/>
      <c r="AC29" s="134" t="s">
        <v>295</v>
      </c>
    </row>
    <row r="30" spans="1:29" s="192" customFormat="1" ht="30.75" customHeight="1" x14ac:dyDescent="0.25">
      <c r="A30" s="134">
        <v>22</v>
      </c>
      <c r="B30" s="134" t="s">
        <v>30</v>
      </c>
      <c r="C30" s="184" t="s">
        <v>253</v>
      </c>
      <c r="D30" s="184" t="s">
        <v>253</v>
      </c>
      <c r="E30" s="133" t="s">
        <v>345</v>
      </c>
      <c r="F30" s="185" t="s">
        <v>344</v>
      </c>
      <c r="G30" s="185"/>
      <c r="H30" s="186" t="s">
        <v>129</v>
      </c>
      <c r="I30" s="186" t="s">
        <v>346</v>
      </c>
      <c r="J30" s="134"/>
      <c r="K30" s="134">
        <v>45</v>
      </c>
      <c r="L30" s="134">
        <v>0</v>
      </c>
      <c r="M30" s="134" t="s">
        <v>74</v>
      </c>
      <c r="N30" s="187"/>
      <c r="O30" s="134"/>
      <c r="P30" s="134" t="s">
        <v>33</v>
      </c>
      <c r="Q30" s="188"/>
      <c r="R30" s="133">
        <v>27</v>
      </c>
      <c r="S30" s="186" t="s">
        <v>254</v>
      </c>
      <c r="T30" s="134"/>
      <c r="U30" s="189"/>
      <c r="V30" s="189"/>
      <c r="W30" s="189"/>
      <c r="X30" s="190"/>
      <c r="Y30" s="189"/>
      <c r="Z30" s="189"/>
      <c r="AA30" s="134"/>
      <c r="AB30" s="190"/>
      <c r="AC30" s="134"/>
    </row>
    <row r="31" spans="1:29" s="192" customFormat="1" ht="30.75" customHeight="1" x14ac:dyDescent="0.25">
      <c r="A31" s="134">
        <v>23</v>
      </c>
      <c r="B31" s="134" t="s">
        <v>30</v>
      </c>
      <c r="C31" s="133" t="s">
        <v>253</v>
      </c>
      <c r="D31" s="133" t="s">
        <v>253</v>
      </c>
      <c r="E31" s="133" t="s">
        <v>348</v>
      </c>
      <c r="F31" s="185" t="s">
        <v>347</v>
      </c>
      <c r="G31" s="187"/>
      <c r="H31" s="187" t="s">
        <v>129</v>
      </c>
      <c r="I31" s="134" t="s">
        <v>322</v>
      </c>
      <c r="J31" s="134"/>
      <c r="K31" s="134">
        <v>60</v>
      </c>
      <c r="L31" s="134">
        <v>0</v>
      </c>
      <c r="M31" s="134" t="s">
        <v>74</v>
      </c>
      <c r="N31" s="134"/>
      <c r="O31" s="134"/>
      <c r="P31" s="134" t="s">
        <v>33</v>
      </c>
      <c r="Q31" s="188"/>
      <c r="R31" s="133">
        <v>27</v>
      </c>
      <c r="S31" s="186" t="s">
        <v>254</v>
      </c>
      <c r="T31" s="134"/>
      <c r="U31" s="189"/>
      <c r="V31" s="189"/>
      <c r="W31" s="189"/>
      <c r="X31" s="190"/>
      <c r="Y31" s="189"/>
      <c r="Z31" s="189"/>
      <c r="AA31" s="134"/>
      <c r="AB31" s="190"/>
      <c r="AC31" s="134"/>
    </row>
    <row r="32" spans="1:29" s="192" customFormat="1" ht="30.75" customHeight="1" x14ac:dyDescent="0.25">
      <c r="A32" s="134">
        <v>24</v>
      </c>
      <c r="B32" s="134" t="s">
        <v>30</v>
      </c>
      <c r="C32" s="133" t="s">
        <v>253</v>
      </c>
      <c r="D32" s="133" t="s">
        <v>253</v>
      </c>
      <c r="E32" s="133" t="s">
        <v>333</v>
      </c>
      <c r="F32" s="185" t="s">
        <v>349</v>
      </c>
      <c r="G32" s="187"/>
      <c r="H32" s="187" t="s">
        <v>129</v>
      </c>
      <c r="I32" s="134" t="s">
        <v>334</v>
      </c>
      <c r="J32" s="134"/>
      <c r="K32" s="134">
        <v>90</v>
      </c>
      <c r="L32" s="134">
        <v>0</v>
      </c>
      <c r="M32" s="134" t="s">
        <v>74</v>
      </c>
      <c r="N32" s="134"/>
      <c r="O32" s="134"/>
      <c r="P32" s="134" t="s">
        <v>33</v>
      </c>
      <c r="Q32" s="188"/>
      <c r="R32" s="133">
        <v>27</v>
      </c>
      <c r="S32" s="186" t="s">
        <v>254</v>
      </c>
      <c r="T32" s="134"/>
      <c r="U32" s="189"/>
      <c r="V32" s="189"/>
      <c r="W32" s="189"/>
      <c r="X32" s="190"/>
      <c r="Y32" s="189"/>
      <c r="Z32" s="189"/>
      <c r="AA32" s="134"/>
      <c r="AB32" s="190"/>
      <c r="AC32" s="134"/>
    </row>
    <row r="33" spans="1:29" s="191" customFormat="1" ht="30.75" customHeight="1" x14ac:dyDescent="0.25">
      <c r="A33" s="134">
        <v>25</v>
      </c>
      <c r="B33" s="134" t="s">
        <v>30</v>
      </c>
      <c r="C33" s="133" t="s">
        <v>253</v>
      </c>
      <c r="D33" s="133" t="s">
        <v>253</v>
      </c>
      <c r="E33" s="133" t="s">
        <v>351</v>
      </c>
      <c r="F33" s="185" t="s">
        <v>350</v>
      </c>
      <c r="G33" s="187"/>
      <c r="H33" s="187" t="s">
        <v>129</v>
      </c>
      <c r="I33" s="134" t="s">
        <v>346</v>
      </c>
      <c r="J33" s="134"/>
      <c r="K33" s="134">
        <v>0</v>
      </c>
      <c r="L33" s="134">
        <v>45</v>
      </c>
      <c r="M33" s="134"/>
      <c r="N33" s="134" t="s">
        <v>74</v>
      </c>
      <c r="O33" s="134"/>
      <c r="P33" s="134" t="s">
        <v>33</v>
      </c>
      <c r="Q33" s="188"/>
      <c r="R33" s="133">
        <v>27</v>
      </c>
      <c r="S33" s="186" t="s">
        <v>254</v>
      </c>
      <c r="T33" s="134"/>
      <c r="U33" s="189"/>
      <c r="V33" s="189"/>
      <c r="W33" s="189"/>
      <c r="X33" s="190"/>
      <c r="Y33" s="189"/>
      <c r="Z33" s="189"/>
      <c r="AA33" s="134"/>
      <c r="AB33" s="190"/>
      <c r="AC33" s="134"/>
    </row>
    <row r="34" spans="1:29" s="191" customFormat="1" ht="30.75" customHeight="1" x14ac:dyDescent="0.25">
      <c r="A34" s="134">
        <v>26</v>
      </c>
      <c r="B34" s="134" t="s">
        <v>30</v>
      </c>
      <c r="C34" s="133" t="s">
        <v>253</v>
      </c>
      <c r="D34" s="133" t="s">
        <v>253</v>
      </c>
      <c r="E34" s="133" t="s">
        <v>353</v>
      </c>
      <c r="F34" s="185" t="s">
        <v>352</v>
      </c>
      <c r="G34" s="187"/>
      <c r="H34" s="187" t="s">
        <v>129</v>
      </c>
      <c r="I34" s="134" t="s">
        <v>346</v>
      </c>
      <c r="J34" s="134"/>
      <c r="K34" s="134">
        <v>45</v>
      </c>
      <c r="L34" s="134">
        <v>0</v>
      </c>
      <c r="M34" s="134" t="s">
        <v>74</v>
      </c>
      <c r="N34" s="134"/>
      <c r="O34" s="134"/>
      <c r="P34" s="134" t="s">
        <v>33</v>
      </c>
      <c r="Q34" s="188"/>
      <c r="R34" s="133">
        <v>27</v>
      </c>
      <c r="S34" s="186" t="s">
        <v>254</v>
      </c>
      <c r="T34" s="134"/>
      <c r="U34" s="189"/>
      <c r="V34" s="189"/>
      <c r="W34" s="189"/>
      <c r="X34" s="190"/>
      <c r="Y34" s="189"/>
      <c r="Z34" s="189"/>
      <c r="AA34" s="134"/>
      <c r="AB34" s="190"/>
      <c r="AC34" s="134"/>
    </row>
    <row r="35" spans="1:29" s="191" customFormat="1" ht="30.75" customHeight="1" x14ac:dyDescent="0.25">
      <c r="A35" s="134">
        <v>27</v>
      </c>
      <c r="B35" s="134" t="s">
        <v>30</v>
      </c>
      <c r="C35" s="133" t="s">
        <v>253</v>
      </c>
      <c r="D35" s="133" t="s">
        <v>253</v>
      </c>
      <c r="E35" s="133" t="s">
        <v>340</v>
      </c>
      <c r="F35" s="185" t="s">
        <v>337</v>
      </c>
      <c r="G35" s="187"/>
      <c r="H35" s="187" t="s">
        <v>123</v>
      </c>
      <c r="I35" s="134" t="s">
        <v>341</v>
      </c>
      <c r="J35" s="134"/>
      <c r="K35" s="134">
        <v>30</v>
      </c>
      <c r="L35" s="134">
        <v>0</v>
      </c>
      <c r="M35" s="134" t="s">
        <v>74</v>
      </c>
      <c r="N35" s="134"/>
      <c r="O35" s="134"/>
      <c r="P35" s="134" t="s">
        <v>33</v>
      </c>
      <c r="Q35" s="188"/>
      <c r="R35" s="133">
        <v>27</v>
      </c>
      <c r="S35" s="186" t="s">
        <v>254</v>
      </c>
      <c r="T35" s="134"/>
      <c r="U35" s="189"/>
      <c r="V35" s="189"/>
      <c r="W35" s="189"/>
      <c r="X35" s="190"/>
      <c r="Y35" s="189"/>
      <c r="Z35" s="189"/>
      <c r="AA35" s="134"/>
      <c r="AB35" s="190"/>
      <c r="AC35" s="134"/>
    </row>
    <row r="36" spans="1:29" s="191" customFormat="1" ht="30.75" customHeight="1" x14ac:dyDescent="0.25">
      <c r="A36" s="134">
        <v>28</v>
      </c>
      <c r="B36" s="134" t="s">
        <v>30</v>
      </c>
      <c r="C36" s="133" t="s">
        <v>253</v>
      </c>
      <c r="D36" s="133" t="s">
        <v>253</v>
      </c>
      <c r="E36" s="133" t="s">
        <v>126</v>
      </c>
      <c r="F36" s="185" t="s">
        <v>338</v>
      </c>
      <c r="G36" s="187"/>
      <c r="H36" s="187" t="s">
        <v>123</v>
      </c>
      <c r="I36" s="134" t="s">
        <v>342</v>
      </c>
      <c r="J36" s="134"/>
      <c r="K36" s="134">
        <v>15</v>
      </c>
      <c r="L36" s="134">
        <v>0</v>
      </c>
      <c r="M36" s="134" t="s">
        <v>74</v>
      </c>
      <c r="N36" s="134"/>
      <c r="O36" s="134"/>
      <c r="P36" s="134" t="s">
        <v>33</v>
      </c>
      <c r="Q36" s="188"/>
      <c r="R36" s="133">
        <v>27</v>
      </c>
      <c r="S36" s="186" t="s">
        <v>254</v>
      </c>
      <c r="T36" s="134"/>
      <c r="U36" s="189"/>
      <c r="V36" s="189"/>
      <c r="W36" s="189"/>
      <c r="X36" s="190"/>
      <c r="Y36" s="189"/>
      <c r="Z36" s="189"/>
      <c r="AA36" s="134"/>
      <c r="AB36" s="190"/>
      <c r="AC36" s="134"/>
    </row>
    <row r="37" spans="1:29" s="192" customFormat="1" ht="30.75" customHeight="1" x14ac:dyDescent="0.25">
      <c r="A37" s="134">
        <v>29</v>
      </c>
      <c r="B37" s="134" t="s">
        <v>30</v>
      </c>
      <c r="C37" s="133" t="s">
        <v>253</v>
      </c>
      <c r="D37" s="133" t="s">
        <v>253</v>
      </c>
      <c r="E37" s="133" t="s">
        <v>154</v>
      </c>
      <c r="F37" s="185" t="s">
        <v>339</v>
      </c>
      <c r="G37" s="193"/>
      <c r="H37" s="193" t="s">
        <v>123</v>
      </c>
      <c r="I37" s="186" t="s">
        <v>343</v>
      </c>
      <c r="J37" s="134"/>
      <c r="K37" s="186">
        <v>30</v>
      </c>
      <c r="L37" s="134">
        <v>0</v>
      </c>
      <c r="M37" s="134" t="s">
        <v>74</v>
      </c>
      <c r="N37" s="134"/>
      <c r="O37" s="134"/>
      <c r="P37" s="134" t="s">
        <v>33</v>
      </c>
      <c r="Q37" s="188"/>
      <c r="R37" s="133">
        <v>27</v>
      </c>
      <c r="S37" s="186" t="s">
        <v>254</v>
      </c>
      <c r="T37" s="134"/>
      <c r="U37" s="189"/>
      <c r="V37" s="189"/>
      <c r="W37" s="189"/>
      <c r="X37" s="190"/>
      <c r="Y37" s="189"/>
      <c r="Z37" s="189"/>
      <c r="AA37" s="134"/>
      <c r="AB37" s="190"/>
      <c r="AC37" s="134"/>
    </row>
    <row r="38" spans="1:29" s="192" customFormat="1" ht="30.75" customHeight="1" x14ac:dyDescent="0.25">
      <c r="A38" s="134">
        <v>30</v>
      </c>
      <c r="B38" s="134" t="s">
        <v>30</v>
      </c>
      <c r="C38" s="133" t="s">
        <v>258</v>
      </c>
      <c r="D38" s="133" t="s">
        <v>258</v>
      </c>
      <c r="E38" s="133" t="s">
        <v>158</v>
      </c>
      <c r="F38" s="185" t="s">
        <v>252</v>
      </c>
      <c r="G38" s="193"/>
      <c r="H38" s="193" t="s">
        <v>129</v>
      </c>
      <c r="I38" s="186" t="s">
        <v>322</v>
      </c>
      <c r="J38" s="134"/>
      <c r="K38" s="186">
        <v>60</v>
      </c>
      <c r="L38" s="134">
        <v>0</v>
      </c>
      <c r="M38" s="134" t="s">
        <v>74</v>
      </c>
      <c r="N38" s="134"/>
      <c r="O38" s="134"/>
      <c r="P38" s="134" t="s">
        <v>33</v>
      </c>
      <c r="Q38" s="188"/>
      <c r="R38" s="133">
        <v>27</v>
      </c>
      <c r="S38" s="186" t="s">
        <v>257</v>
      </c>
      <c r="T38" s="134"/>
      <c r="U38" s="189"/>
      <c r="V38" s="189"/>
      <c r="W38" s="189"/>
      <c r="X38" s="190"/>
      <c r="Y38" s="189"/>
      <c r="Z38" s="189"/>
      <c r="AA38" s="134"/>
      <c r="AB38" s="190"/>
      <c r="AC38" s="134"/>
    </row>
    <row r="39" spans="1:29" s="192" customFormat="1" ht="30.75" customHeight="1" x14ac:dyDescent="0.25">
      <c r="A39" s="134">
        <v>31</v>
      </c>
      <c r="B39" s="134" t="s">
        <v>30</v>
      </c>
      <c r="C39" s="133" t="s">
        <v>258</v>
      </c>
      <c r="D39" s="184" t="s">
        <v>258</v>
      </c>
      <c r="E39" s="194" t="s">
        <v>269</v>
      </c>
      <c r="F39" s="185" t="s">
        <v>267</v>
      </c>
      <c r="G39" s="193"/>
      <c r="H39" s="193" t="s">
        <v>129</v>
      </c>
      <c r="I39" s="186" t="s">
        <v>320</v>
      </c>
      <c r="J39" s="134"/>
      <c r="K39" s="186">
        <v>75</v>
      </c>
      <c r="L39" s="134">
        <v>0</v>
      </c>
      <c r="M39" s="134" t="s">
        <v>74</v>
      </c>
      <c r="N39" s="187"/>
      <c r="O39" s="134"/>
      <c r="P39" s="134" t="s">
        <v>33</v>
      </c>
      <c r="Q39" s="188"/>
      <c r="R39" s="133">
        <v>27</v>
      </c>
      <c r="S39" s="186" t="s">
        <v>257</v>
      </c>
      <c r="T39" s="134"/>
      <c r="U39" s="189"/>
      <c r="V39" s="189"/>
      <c r="W39" s="189"/>
      <c r="X39" s="190"/>
      <c r="Y39" s="189"/>
      <c r="Z39" s="189"/>
      <c r="AA39" s="134"/>
      <c r="AB39" s="190"/>
      <c r="AC39" s="134"/>
    </row>
    <row r="40" spans="1:29" s="192" customFormat="1" ht="30.75" customHeight="1" x14ac:dyDescent="0.25">
      <c r="A40" s="134">
        <v>32</v>
      </c>
      <c r="B40" s="186" t="s">
        <v>30</v>
      </c>
      <c r="C40" s="133" t="s">
        <v>258</v>
      </c>
      <c r="D40" s="184" t="s">
        <v>258</v>
      </c>
      <c r="E40" s="194" t="s">
        <v>353</v>
      </c>
      <c r="F40" s="185" t="s">
        <v>352</v>
      </c>
      <c r="G40" s="187"/>
      <c r="H40" s="187" t="s">
        <v>129</v>
      </c>
      <c r="I40" s="186" t="s">
        <v>346</v>
      </c>
      <c r="J40" s="134"/>
      <c r="K40" s="186">
        <v>45</v>
      </c>
      <c r="L40" s="134">
        <v>0</v>
      </c>
      <c r="M40" s="134" t="s">
        <v>74</v>
      </c>
      <c r="N40" s="134"/>
      <c r="O40" s="187"/>
      <c r="P40" s="134" t="s">
        <v>33</v>
      </c>
      <c r="Q40" s="188"/>
      <c r="R40" s="133">
        <v>27</v>
      </c>
      <c r="S40" s="186" t="s">
        <v>257</v>
      </c>
      <c r="T40" s="134"/>
      <c r="U40" s="189"/>
      <c r="V40" s="189"/>
      <c r="W40" s="189"/>
      <c r="X40" s="190"/>
      <c r="Y40" s="189"/>
      <c r="Z40" s="189"/>
      <c r="AA40" s="134"/>
      <c r="AB40" s="190"/>
      <c r="AC40" s="134"/>
    </row>
    <row r="41" spans="1:29" s="192" customFormat="1" ht="30.75" customHeight="1" x14ac:dyDescent="0.25">
      <c r="A41" s="134">
        <v>33</v>
      </c>
      <c r="B41" s="186" t="s">
        <v>30</v>
      </c>
      <c r="C41" s="133" t="s">
        <v>258</v>
      </c>
      <c r="D41" s="184" t="s">
        <v>258</v>
      </c>
      <c r="E41" s="194" t="s">
        <v>355</v>
      </c>
      <c r="F41" s="185" t="s">
        <v>354</v>
      </c>
      <c r="G41" s="187"/>
      <c r="H41" s="187" t="s">
        <v>129</v>
      </c>
      <c r="I41" s="186" t="s">
        <v>325</v>
      </c>
      <c r="J41" s="134"/>
      <c r="K41" s="186">
        <v>30</v>
      </c>
      <c r="L41" s="134">
        <v>0</v>
      </c>
      <c r="M41" s="134" t="s">
        <v>74</v>
      </c>
      <c r="N41" s="134"/>
      <c r="O41" s="187"/>
      <c r="P41" s="134" t="s">
        <v>33</v>
      </c>
      <c r="Q41" s="188"/>
      <c r="R41" s="133">
        <v>27</v>
      </c>
      <c r="S41" s="186" t="s">
        <v>257</v>
      </c>
      <c r="T41" s="134"/>
      <c r="U41" s="189"/>
      <c r="V41" s="189"/>
      <c r="W41" s="189"/>
      <c r="X41" s="190"/>
      <c r="Y41" s="189"/>
      <c r="Z41" s="189"/>
      <c r="AA41" s="134"/>
      <c r="AB41" s="190"/>
      <c r="AC41" s="134"/>
    </row>
    <row r="42" spans="1:29" s="191" customFormat="1" ht="30.75" customHeight="1" x14ac:dyDescent="0.25">
      <c r="A42" s="134">
        <v>34</v>
      </c>
      <c r="B42" s="186" t="s">
        <v>30</v>
      </c>
      <c r="C42" s="133" t="s">
        <v>258</v>
      </c>
      <c r="D42" s="184" t="s">
        <v>258</v>
      </c>
      <c r="E42" s="194" t="s">
        <v>340</v>
      </c>
      <c r="F42" s="185" t="s">
        <v>337</v>
      </c>
      <c r="G42" s="187"/>
      <c r="H42" s="187" t="s">
        <v>123</v>
      </c>
      <c r="I42" s="186" t="s">
        <v>341</v>
      </c>
      <c r="J42" s="134"/>
      <c r="K42" s="186">
        <v>30</v>
      </c>
      <c r="L42" s="134">
        <v>0</v>
      </c>
      <c r="M42" s="134" t="s">
        <v>74</v>
      </c>
      <c r="N42" s="134"/>
      <c r="O42" s="187"/>
      <c r="P42" s="134" t="s">
        <v>33</v>
      </c>
      <c r="Q42" s="188"/>
      <c r="R42" s="133">
        <v>27</v>
      </c>
      <c r="S42" s="186" t="s">
        <v>257</v>
      </c>
      <c r="T42" s="134"/>
      <c r="U42" s="189"/>
      <c r="V42" s="189"/>
      <c r="W42" s="189"/>
      <c r="X42" s="190"/>
      <c r="Y42" s="189"/>
      <c r="Z42" s="189"/>
      <c r="AA42" s="134"/>
      <c r="AB42" s="190"/>
      <c r="AC42" s="134"/>
    </row>
    <row r="43" spans="1:29" s="191" customFormat="1" ht="30.75" customHeight="1" x14ac:dyDescent="0.25">
      <c r="A43" s="134">
        <v>35</v>
      </c>
      <c r="B43" s="186" t="s">
        <v>30</v>
      </c>
      <c r="C43" s="133" t="s">
        <v>258</v>
      </c>
      <c r="D43" s="184" t="s">
        <v>258</v>
      </c>
      <c r="E43" s="133" t="s">
        <v>126</v>
      </c>
      <c r="F43" s="185" t="s">
        <v>338</v>
      </c>
      <c r="G43" s="193"/>
      <c r="H43" s="193" t="s">
        <v>123</v>
      </c>
      <c r="I43" s="186" t="s">
        <v>342</v>
      </c>
      <c r="J43" s="134"/>
      <c r="K43" s="186">
        <v>15</v>
      </c>
      <c r="L43" s="134">
        <v>0</v>
      </c>
      <c r="M43" s="134" t="s">
        <v>74</v>
      </c>
      <c r="N43" s="134"/>
      <c r="O43" s="187"/>
      <c r="P43" s="134" t="s">
        <v>33</v>
      </c>
      <c r="Q43" s="188"/>
      <c r="R43" s="133">
        <v>27</v>
      </c>
      <c r="S43" s="186" t="s">
        <v>257</v>
      </c>
      <c r="T43" s="134"/>
      <c r="U43" s="189"/>
      <c r="V43" s="189"/>
      <c r="W43" s="189"/>
      <c r="X43" s="190"/>
      <c r="Y43" s="189"/>
      <c r="Z43" s="189"/>
      <c r="AA43" s="134"/>
      <c r="AB43" s="190"/>
      <c r="AC43" s="134"/>
    </row>
    <row r="44" spans="1:29" s="191" customFormat="1" ht="30.75" customHeight="1" x14ac:dyDescent="0.25">
      <c r="A44" s="134">
        <v>36</v>
      </c>
      <c r="B44" s="186" t="s">
        <v>30</v>
      </c>
      <c r="C44" s="133" t="s">
        <v>258</v>
      </c>
      <c r="D44" s="184" t="s">
        <v>258</v>
      </c>
      <c r="E44" s="133" t="s">
        <v>154</v>
      </c>
      <c r="F44" s="185" t="s">
        <v>339</v>
      </c>
      <c r="G44" s="193"/>
      <c r="H44" s="193" t="s">
        <v>123</v>
      </c>
      <c r="I44" s="134" t="s">
        <v>343</v>
      </c>
      <c r="J44" s="134"/>
      <c r="K44" s="134">
        <v>30</v>
      </c>
      <c r="L44" s="134">
        <v>0</v>
      </c>
      <c r="M44" s="134" t="s">
        <v>74</v>
      </c>
      <c r="N44" s="134"/>
      <c r="O44" s="187"/>
      <c r="P44" s="134" t="s">
        <v>33</v>
      </c>
      <c r="Q44" s="188"/>
      <c r="R44" s="133">
        <v>27</v>
      </c>
      <c r="S44" s="186" t="s">
        <v>257</v>
      </c>
      <c r="T44" s="134"/>
      <c r="U44" s="189"/>
      <c r="V44" s="189"/>
      <c r="W44" s="189"/>
      <c r="X44" s="190"/>
      <c r="Y44" s="189"/>
      <c r="Z44" s="189"/>
      <c r="AA44" s="134"/>
      <c r="AB44" s="190"/>
      <c r="AC44" s="134"/>
    </row>
    <row r="45" spans="1:29" s="191" customFormat="1" ht="30.75" customHeight="1" x14ac:dyDescent="0.25">
      <c r="A45" s="134">
        <v>37</v>
      </c>
      <c r="B45" s="186" t="s">
        <v>30</v>
      </c>
      <c r="C45" s="133" t="s">
        <v>244</v>
      </c>
      <c r="D45" s="184" t="s">
        <v>244</v>
      </c>
      <c r="E45" s="133" t="s">
        <v>331</v>
      </c>
      <c r="F45" s="185" t="s">
        <v>330</v>
      </c>
      <c r="G45" s="193"/>
      <c r="H45" s="193" t="s">
        <v>129</v>
      </c>
      <c r="I45" s="134" t="s">
        <v>322</v>
      </c>
      <c r="J45" s="134"/>
      <c r="K45" s="134">
        <v>60</v>
      </c>
      <c r="L45" s="134">
        <v>0</v>
      </c>
      <c r="M45" s="134" t="s">
        <v>74</v>
      </c>
      <c r="N45" s="134"/>
      <c r="O45" s="187"/>
      <c r="P45" s="134" t="s">
        <v>33</v>
      </c>
      <c r="Q45" s="188"/>
      <c r="R45" s="133">
        <v>27</v>
      </c>
      <c r="S45" s="186" t="s">
        <v>246</v>
      </c>
      <c r="T45" s="134"/>
      <c r="U45" s="189"/>
      <c r="V45" s="189"/>
      <c r="W45" s="189"/>
      <c r="X45" s="190"/>
      <c r="Y45" s="189"/>
      <c r="Z45" s="189"/>
      <c r="AA45" s="134"/>
      <c r="AB45" s="190"/>
      <c r="AC45" s="134"/>
    </row>
    <row r="46" spans="1:29" s="191" customFormat="1" ht="30.75" customHeight="1" x14ac:dyDescent="0.25">
      <c r="A46" s="134">
        <v>38</v>
      </c>
      <c r="B46" s="134" t="s">
        <v>30</v>
      </c>
      <c r="C46" s="133" t="s">
        <v>244</v>
      </c>
      <c r="D46" s="184" t="s">
        <v>244</v>
      </c>
      <c r="E46" s="194" t="s">
        <v>333</v>
      </c>
      <c r="F46" s="185" t="s">
        <v>332</v>
      </c>
      <c r="G46" s="193"/>
      <c r="H46" s="193" t="s">
        <v>129</v>
      </c>
      <c r="I46" s="186" t="s">
        <v>334</v>
      </c>
      <c r="J46" s="134"/>
      <c r="K46" s="186">
        <v>90</v>
      </c>
      <c r="L46" s="134">
        <v>0</v>
      </c>
      <c r="M46" s="134" t="s">
        <v>74</v>
      </c>
      <c r="N46" s="187"/>
      <c r="O46" s="134"/>
      <c r="P46" s="134" t="s">
        <v>33</v>
      </c>
      <c r="Q46" s="188"/>
      <c r="R46" s="133">
        <v>27</v>
      </c>
      <c r="S46" s="186" t="s">
        <v>246</v>
      </c>
      <c r="T46" s="134"/>
      <c r="U46" s="189"/>
      <c r="V46" s="189"/>
      <c r="W46" s="189"/>
      <c r="X46" s="190"/>
      <c r="Y46" s="189"/>
      <c r="Z46" s="189"/>
      <c r="AA46" s="134"/>
      <c r="AB46" s="190"/>
      <c r="AC46" s="134"/>
    </row>
    <row r="47" spans="1:29" s="191" customFormat="1" ht="30.75" customHeight="1" x14ac:dyDescent="0.25">
      <c r="A47" s="134">
        <v>39</v>
      </c>
      <c r="B47" s="134" t="s">
        <v>30</v>
      </c>
      <c r="C47" s="133" t="s">
        <v>244</v>
      </c>
      <c r="D47" s="184" t="s">
        <v>244</v>
      </c>
      <c r="E47" s="194" t="s">
        <v>141</v>
      </c>
      <c r="F47" s="185" t="s">
        <v>256</v>
      </c>
      <c r="G47" s="187"/>
      <c r="H47" s="187" t="s">
        <v>129</v>
      </c>
      <c r="I47" s="186" t="s">
        <v>320</v>
      </c>
      <c r="J47" s="134"/>
      <c r="K47" s="186">
        <v>75</v>
      </c>
      <c r="L47" s="134">
        <v>0</v>
      </c>
      <c r="M47" s="134" t="s">
        <v>74</v>
      </c>
      <c r="N47" s="134"/>
      <c r="O47" s="187"/>
      <c r="P47" s="134" t="s">
        <v>33</v>
      </c>
      <c r="Q47" s="188"/>
      <c r="R47" s="133">
        <v>27</v>
      </c>
      <c r="S47" s="186" t="s">
        <v>246</v>
      </c>
      <c r="T47" s="134"/>
      <c r="U47" s="189"/>
      <c r="V47" s="189"/>
      <c r="W47" s="189"/>
      <c r="X47" s="190"/>
      <c r="Y47" s="189"/>
      <c r="Z47" s="189"/>
      <c r="AA47" s="134"/>
      <c r="AB47" s="190"/>
      <c r="AC47" s="134"/>
    </row>
    <row r="48" spans="1:29" s="191" customFormat="1" ht="30.75" customHeight="1" x14ac:dyDescent="0.25">
      <c r="A48" s="134">
        <v>40</v>
      </c>
      <c r="B48" s="134" t="s">
        <v>30</v>
      </c>
      <c r="C48" s="133" t="s">
        <v>244</v>
      </c>
      <c r="D48" s="184" t="s">
        <v>244</v>
      </c>
      <c r="E48" s="194" t="s">
        <v>336</v>
      </c>
      <c r="F48" s="185" t="s">
        <v>335</v>
      </c>
      <c r="G48" s="187"/>
      <c r="H48" s="187" t="s">
        <v>129</v>
      </c>
      <c r="I48" s="186" t="s">
        <v>320</v>
      </c>
      <c r="J48" s="134"/>
      <c r="K48" s="186">
        <v>75</v>
      </c>
      <c r="L48" s="134">
        <v>0</v>
      </c>
      <c r="M48" s="134" t="s">
        <v>74</v>
      </c>
      <c r="N48" s="134"/>
      <c r="O48" s="187"/>
      <c r="P48" s="134" t="s">
        <v>33</v>
      </c>
      <c r="Q48" s="188"/>
      <c r="R48" s="133">
        <v>27</v>
      </c>
      <c r="S48" s="186" t="s">
        <v>246</v>
      </c>
      <c r="T48" s="134"/>
      <c r="U48" s="189"/>
      <c r="V48" s="189"/>
      <c r="W48" s="189"/>
      <c r="X48" s="190"/>
      <c r="Y48" s="189"/>
      <c r="Z48" s="189"/>
      <c r="AA48" s="134"/>
      <c r="AB48" s="190"/>
      <c r="AC48" s="134"/>
    </row>
    <row r="49" spans="1:31" s="192" customFormat="1" ht="30.75" customHeight="1" x14ac:dyDescent="0.25">
      <c r="A49" s="134">
        <v>41</v>
      </c>
      <c r="B49" s="134" t="s">
        <v>30</v>
      </c>
      <c r="C49" s="133" t="s">
        <v>244</v>
      </c>
      <c r="D49" s="184" t="s">
        <v>244</v>
      </c>
      <c r="E49" s="194" t="s">
        <v>340</v>
      </c>
      <c r="F49" s="185" t="s">
        <v>337</v>
      </c>
      <c r="G49" s="187"/>
      <c r="H49" s="187" t="s">
        <v>123</v>
      </c>
      <c r="I49" s="186" t="s">
        <v>341</v>
      </c>
      <c r="J49" s="134"/>
      <c r="K49" s="186">
        <v>30</v>
      </c>
      <c r="L49" s="134">
        <v>0</v>
      </c>
      <c r="M49" s="134" t="s">
        <v>74</v>
      </c>
      <c r="N49" s="134"/>
      <c r="O49" s="187"/>
      <c r="P49" s="134" t="s">
        <v>33</v>
      </c>
      <c r="Q49" s="188"/>
      <c r="R49" s="133">
        <v>27</v>
      </c>
      <c r="S49" s="186" t="s">
        <v>246</v>
      </c>
      <c r="T49" s="134"/>
      <c r="U49" s="189"/>
      <c r="V49" s="189"/>
      <c r="W49" s="189"/>
      <c r="X49" s="190"/>
      <c r="Y49" s="189"/>
      <c r="Z49" s="189"/>
      <c r="AA49" s="134"/>
      <c r="AB49" s="190"/>
      <c r="AC49" s="134"/>
    </row>
    <row r="50" spans="1:31" s="192" customFormat="1" ht="30.75" customHeight="1" x14ac:dyDescent="0.25">
      <c r="A50" s="134">
        <v>42</v>
      </c>
      <c r="B50" s="134" t="s">
        <v>30</v>
      </c>
      <c r="C50" s="133" t="s">
        <v>244</v>
      </c>
      <c r="D50" s="184" t="s">
        <v>244</v>
      </c>
      <c r="E50" s="133" t="s">
        <v>126</v>
      </c>
      <c r="F50" s="185" t="s">
        <v>338</v>
      </c>
      <c r="G50" s="193"/>
      <c r="H50" s="193" t="s">
        <v>123</v>
      </c>
      <c r="I50" s="134" t="s">
        <v>342</v>
      </c>
      <c r="J50" s="134"/>
      <c r="K50" s="134">
        <v>15</v>
      </c>
      <c r="L50" s="134">
        <v>0</v>
      </c>
      <c r="M50" s="134" t="s">
        <v>74</v>
      </c>
      <c r="N50" s="134"/>
      <c r="O50" s="187"/>
      <c r="P50" s="134" t="s">
        <v>33</v>
      </c>
      <c r="Q50" s="188"/>
      <c r="R50" s="133">
        <v>27</v>
      </c>
      <c r="S50" s="186" t="s">
        <v>246</v>
      </c>
      <c r="T50" s="134"/>
      <c r="U50" s="189"/>
      <c r="V50" s="189"/>
      <c r="W50" s="189"/>
      <c r="X50" s="190"/>
      <c r="Y50" s="189"/>
      <c r="Z50" s="189"/>
      <c r="AA50" s="134"/>
      <c r="AB50" s="190"/>
      <c r="AC50" s="134"/>
    </row>
    <row r="51" spans="1:31" s="192" customFormat="1" ht="30.75" customHeight="1" x14ac:dyDescent="0.25">
      <c r="A51" s="134">
        <v>43</v>
      </c>
      <c r="B51" s="134" t="s">
        <v>30</v>
      </c>
      <c r="C51" s="133" t="s">
        <v>244</v>
      </c>
      <c r="D51" s="184" t="s">
        <v>244</v>
      </c>
      <c r="E51" s="133" t="s">
        <v>154</v>
      </c>
      <c r="F51" s="185" t="s">
        <v>339</v>
      </c>
      <c r="G51" s="193"/>
      <c r="H51" s="193" t="s">
        <v>123</v>
      </c>
      <c r="I51" s="134" t="s">
        <v>343</v>
      </c>
      <c r="J51" s="134"/>
      <c r="K51" s="134">
        <v>30</v>
      </c>
      <c r="L51" s="134">
        <v>0</v>
      </c>
      <c r="M51" s="134" t="s">
        <v>74</v>
      </c>
      <c r="N51" s="134"/>
      <c r="O51" s="187"/>
      <c r="P51" s="134" t="s">
        <v>33</v>
      </c>
      <c r="Q51" s="188"/>
      <c r="R51" s="133">
        <v>27</v>
      </c>
      <c r="S51" s="186" t="s">
        <v>246</v>
      </c>
      <c r="T51" s="134"/>
      <c r="U51" s="189"/>
      <c r="V51" s="189"/>
      <c r="W51" s="189"/>
      <c r="X51" s="190"/>
      <c r="Y51" s="189"/>
      <c r="Z51" s="189"/>
      <c r="AA51" s="134"/>
      <c r="AB51" s="190"/>
      <c r="AC51" s="134"/>
    </row>
    <row r="52" spans="1:31" s="192" customFormat="1" ht="30.75" customHeight="1" x14ac:dyDescent="0.25">
      <c r="A52" s="134">
        <v>44</v>
      </c>
      <c r="B52" s="134" t="s">
        <v>30</v>
      </c>
      <c r="C52" s="133" t="s">
        <v>244</v>
      </c>
      <c r="D52" s="184" t="s">
        <v>244</v>
      </c>
      <c r="E52" s="133" t="s">
        <v>331</v>
      </c>
      <c r="F52" s="185" t="s">
        <v>330</v>
      </c>
      <c r="G52" s="187"/>
      <c r="H52" s="187" t="s">
        <v>129</v>
      </c>
      <c r="I52" s="134" t="s">
        <v>322</v>
      </c>
      <c r="J52" s="134"/>
      <c r="K52" s="134">
        <v>60</v>
      </c>
      <c r="L52" s="134">
        <v>0</v>
      </c>
      <c r="M52" s="134" t="s">
        <v>74</v>
      </c>
      <c r="N52" s="134"/>
      <c r="O52" s="134"/>
      <c r="P52" s="134" t="s">
        <v>33</v>
      </c>
      <c r="Q52" s="188"/>
      <c r="R52" s="133">
        <v>27</v>
      </c>
      <c r="S52" s="186" t="s">
        <v>356</v>
      </c>
      <c r="T52" s="134"/>
      <c r="U52" s="189"/>
      <c r="V52" s="189"/>
      <c r="W52" s="189"/>
      <c r="X52" s="190"/>
      <c r="Y52" s="189"/>
      <c r="Z52" s="189"/>
      <c r="AA52" s="134"/>
      <c r="AB52" s="190"/>
      <c r="AC52" s="134"/>
    </row>
    <row r="53" spans="1:31" s="192" customFormat="1" ht="30.75" customHeight="1" x14ac:dyDescent="0.25">
      <c r="A53" s="134">
        <v>45</v>
      </c>
      <c r="B53" s="134" t="s">
        <v>30</v>
      </c>
      <c r="C53" s="133" t="s">
        <v>244</v>
      </c>
      <c r="D53" s="184" t="s">
        <v>244</v>
      </c>
      <c r="E53" s="133" t="s">
        <v>333</v>
      </c>
      <c r="F53" s="185" t="s">
        <v>332</v>
      </c>
      <c r="G53" s="134"/>
      <c r="H53" s="186" t="s">
        <v>129</v>
      </c>
      <c r="I53" s="186" t="s">
        <v>334</v>
      </c>
      <c r="J53" s="134"/>
      <c r="K53" s="134">
        <v>90</v>
      </c>
      <c r="L53" s="134">
        <v>0</v>
      </c>
      <c r="M53" s="134" t="s">
        <v>74</v>
      </c>
      <c r="N53" s="134"/>
      <c r="O53" s="134"/>
      <c r="P53" s="134" t="s">
        <v>33</v>
      </c>
      <c r="Q53" s="188"/>
      <c r="R53" s="133">
        <v>27</v>
      </c>
      <c r="S53" s="186" t="s">
        <v>356</v>
      </c>
      <c r="T53" s="134"/>
      <c r="U53" s="189"/>
      <c r="V53" s="189"/>
      <c r="W53" s="189"/>
      <c r="X53" s="190"/>
      <c r="Y53" s="189"/>
      <c r="Z53" s="189"/>
      <c r="AA53" s="134"/>
      <c r="AB53" s="190"/>
      <c r="AC53" s="134"/>
    </row>
    <row r="54" spans="1:31" s="192" customFormat="1" ht="30.75" customHeight="1" x14ac:dyDescent="0.25">
      <c r="A54" s="134">
        <v>46</v>
      </c>
      <c r="B54" s="134" t="s">
        <v>30</v>
      </c>
      <c r="C54" s="133" t="s">
        <v>244</v>
      </c>
      <c r="D54" s="184" t="s">
        <v>244</v>
      </c>
      <c r="E54" s="133" t="s">
        <v>141</v>
      </c>
      <c r="F54" s="185" t="s">
        <v>256</v>
      </c>
      <c r="G54" s="134"/>
      <c r="H54" s="186" t="s">
        <v>129</v>
      </c>
      <c r="I54" s="186" t="s">
        <v>320</v>
      </c>
      <c r="J54" s="134"/>
      <c r="K54" s="134">
        <v>75</v>
      </c>
      <c r="L54" s="134">
        <v>0</v>
      </c>
      <c r="M54" s="134" t="s">
        <v>74</v>
      </c>
      <c r="N54" s="134"/>
      <c r="O54" s="134"/>
      <c r="P54" s="134" t="s">
        <v>33</v>
      </c>
      <c r="Q54" s="188"/>
      <c r="R54" s="133">
        <v>27</v>
      </c>
      <c r="S54" s="186" t="s">
        <v>356</v>
      </c>
      <c r="T54" s="134"/>
      <c r="U54" s="189"/>
      <c r="V54" s="189"/>
      <c r="W54" s="189"/>
      <c r="X54" s="190"/>
      <c r="Y54" s="189"/>
      <c r="Z54" s="189"/>
      <c r="AA54" s="134"/>
      <c r="AB54" s="190"/>
      <c r="AC54" s="134"/>
    </row>
    <row r="55" spans="1:31" s="191" customFormat="1" ht="30.75" customHeight="1" x14ac:dyDescent="0.25">
      <c r="A55" s="134">
        <v>47</v>
      </c>
      <c r="B55" s="134" t="s">
        <v>30</v>
      </c>
      <c r="C55" s="133" t="s">
        <v>244</v>
      </c>
      <c r="D55" s="184" t="s">
        <v>244</v>
      </c>
      <c r="E55" s="133" t="s">
        <v>336</v>
      </c>
      <c r="F55" s="185" t="s">
        <v>335</v>
      </c>
      <c r="G55" s="134"/>
      <c r="H55" s="186" t="s">
        <v>129</v>
      </c>
      <c r="I55" s="186" t="s">
        <v>320</v>
      </c>
      <c r="J55" s="134"/>
      <c r="K55" s="134">
        <v>75</v>
      </c>
      <c r="L55" s="134">
        <v>0</v>
      </c>
      <c r="M55" s="134" t="s">
        <v>74</v>
      </c>
      <c r="N55" s="134"/>
      <c r="O55" s="134"/>
      <c r="P55" s="134" t="s">
        <v>33</v>
      </c>
      <c r="Q55" s="188"/>
      <c r="R55" s="133">
        <v>27</v>
      </c>
      <c r="S55" s="186" t="s">
        <v>356</v>
      </c>
      <c r="T55" s="134"/>
      <c r="U55" s="189"/>
      <c r="V55" s="189"/>
      <c r="W55" s="189"/>
      <c r="X55" s="190"/>
      <c r="Y55" s="189"/>
      <c r="Z55" s="189"/>
      <c r="AA55" s="134"/>
      <c r="AB55" s="190"/>
      <c r="AC55" s="134"/>
    </row>
    <row r="56" spans="1:31" s="191" customFormat="1" ht="30.75" customHeight="1" x14ac:dyDescent="0.25">
      <c r="A56" s="134">
        <v>48</v>
      </c>
      <c r="B56" s="134" t="s">
        <v>30</v>
      </c>
      <c r="C56" s="133" t="s">
        <v>244</v>
      </c>
      <c r="D56" s="184" t="s">
        <v>244</v>
      </c>
      <c r="E56" s="133" t="s">
        <v>340</v>
      </c>
      <c r="F56" s="185" t="s">
        <v>337</v>
      </c>
      <c r="G56" s="187"/>
      <c r="H56" s="134" t="s">
        <v>123</v>
      </c>
      <c r="I56" s="134" t="s">
        <v>341</v>
      </c>
      <c r="J56" s="134"/>
      <c r="K56" s="134">
        <v>30</v>
      </c>
      <c r="L56" s="134">
        <v>0</v>
      </c>
      <c r="M56" s="134" t="s">
        <v>74</v>
      </c>
      <c r="N56" s="134"/>
      <c r="O56" s="187"/>
      <c r="P56" s="134" t="s">
        <v>33</v>
      </c>
      <c r="Q56" s="188"/>
      <c r="R56" s="133">
        <v>27</v>
      </c>
      <c r="S56" s="186" t="s">
        <v>356</v>
      </c>
      <c r="T56" s="134"/>
      <c r="U56" s="189"/>
      <c r="V56" s="189"/>
      <c r="W56" s="189"/>
      <c r="X56" s="190"/>
      <c r="Y56" s="189"/>
      <c r="Z56" s="189"/>
      <c r="AA56" s="134"/>
      <c r="AB56" s="190"/>
      <c r="AC56" s="134"/>
    </row>
    <row r="57" spans="1:31" s="191" customFormat="1" ht="30.75" customHeight="1" x14ac:dyDescent="0.25">
      <c r="A57" s="134">
        <v>49</v>
      </c>
      <c r="B57" s="134" t="s">
        <v>30</v>
      </c>
      <c r="C57" s="133" t="s">
        <v>244</v>
      </c>
      <c r="D57" s="184" t="s">
        <v>244</v>
      </c>
      <c r="E57" s="133" t="s">
        <v>126</v>
      </c>
      <c r="F57" s="185" t="s">
        <v>338</v>
      </c>
      <c r="G57" s="187"/>
      <c r="H57" s="134" t="s">
        <v>123</v>
      </c>
      <c r="I57" s="134" t="s">
        <v>342</v>
      </c>
      <c r="J57" s="134"/>
      <c r="K57" s="134">
        <v>15</v>
      </c>
      <c r="L57" s="134">
        <v>0</v>
      </c>
      <c r="M57" s="134" t="s">
        <v>74</v>
      </c>
      <c r="N57" s="134"/>
      <c r="O57" s="187"/>
      <c r="P57" s="134" t="s">
        <v>33</v>
      </c>
      <c r="Q57" s="188"/>
      <c r="R57" s="133">
        <v>27</v>
      </c>
      <c r="S57" s="186" t="s">
        <v>356</v>
      </c>
      <c r="T57" s="134"/>
      <c r="U57" s="189"/>
      <c r="V57" s="189"/>
      <c r="W57" s="189"/>
      <c r="X57" s="190"/>
      <c r="Y57" s="189"/>
      <c r="Z57" s="189"/>
      <c r="AA57" s="134"/>
      <c r="AB57" s="190"/>
      <c r="AC57" s="134"/>
    </row>
    <row r="58" spans="1:31" s="191" customFormat="1" ht="30.75" customHeight="1" x14ac:dyDescent="0.25">
      <c r="A58" s="134">
        <v>50</v>
      </c>
      <c r="B58" s="134" t="s">
        <v>30</v>
      </c>
      <c r="C58" s="133" t="s">
        <v>244</v>
      </c>
      <c r="D58" s="184" t="s">
        <v>244</v>
      </c>
      <c r="E58" s="133" t="s">
        <v>154</v>
      </c>
      <c r="F58" s="185" t="s">
        <v>339</v>
      </c>
      <c r="G58" s="187"/>
      <c r="H58" s="134" t="s">
        <v>123</v>
      </c>
      <c r="I58" s="134" t="s">
        <v>343</v>
      </c>
      <c r="J58" s="134"/>
      <c r="K58" s="134">
        <v>30</v>
      </c>
      <c r="L58" s="134">
        <v>0</v>
      </c>
      <c r="M58" s="134" t="s">
        <v>74</v>
      </c>
      <c r="N58" s="134"/>
      <c r="O58" s="187"/>
      <c r="P58" s="134" t="s">
        <v>33</v>
      </c>
      <c r="Q58" s="188"/>
      <c r="R58" s="133">
        <v>27</v>
      </c>
      <c r="S58" s="186" t="s">
        <v>356</v>
      </c>
      <c r="T58" s="134"/>
      <c r="U58" s="189"/>
      <c r="V58" s="189"/>
      <c r="W58" s="189"/>
      <c r="X58" s="190"/>
      <c r="Y58" s="189"/>
      <c r="Z58" s="189"/>
      <c r="AA58" s="134"/>
      <c r="AB58" s="190"/>
      <c r="AC58" s="134"/>
    </row>
    <row r="59" spans="1:31" s="191" customFormat="1" ht="30.75" customHeight="1" x14ac:dyDescent="0.25">
      <c r="A59" s="134">
        <v>51</v>
      </c>
      <c r="B59" s="134" t="s">
        <v>6</v>
      </c>
      <c r="C59" s="133" t="s">
        <v>166</v>
      </c>
      <c r="D59" s="184" t="s">
        <v>166</v>
      </c>
      <c r="E59" s="133" t="s">
        <v>280</v>
      </c>
      <c r="F59" s="185" t="s">
        <v>358</v>
      </c>
      <c r="G59" s="187"/>
      <c r="H59" s="134" t="s">
        <v>129</v>
      </c>
      <c r="I59" s="134" t="s">
        <v>326</v>
      </c>
      <c r="J59" s="134"/>
      <c r="K59" s="134">
        <v>60</v>
      </c>
      <c r="L59" s="134">
        <v>0</v>
      </c>
      <c r="M59" s="134" t="s">
        <v>74</v>
      </c>
      <c r="N59" s="134"/>
      <c r="O59" s="187"/>
      <c r="P59" s="134" t="s">
        <v>33</v>
      </c>
      <c r="Q59" s="188"/>
      <c r="R59" s="133">
        <v>17</v>
      </c>
      <c r="S59" s="186" t="s">
        <v>208</v>
      </c>
      <c r="T59" s="134"/>
      <c r="U59" s="189"/>
      <c r="V59" s="189"/>
      <c r="W59" s="189"/>
      <c r="X59" s="190"/>
      <c r="Y59" s="189"/>
      <c r="Z59" s="189"/>
      <c r="AA59" s="134"/>
      <c r="AB59" s="190"/>
      <c r="AC59" s="134"/>
      <c r="AD59" s="191" t="s">
        <v>382</v>
      </c>
      <c r="AE59" s="191">
        <v>90</v>
      </c>
    </row>
    <row r="60" spans="1:31" s="191" customFormat="1" ht="30.75" customHeight="1" x14ac:dyDescent="0.25">
      <c r="A60" s="134">
        <v>52</v>
      </c>
      <c r="B60" s="134" t="s">
        <v>6</v>
      </c>
      <c r="C60" s="133" t="s">
        <v>166</v>
      </c>
      <c r="D60" s="184" t="s">
        <v>166</v>
      </c>
      <c r="E60" s="133" t="s">
        <v>365</v>
      </c>
      <c r="F60" s="185" t="s">
        <v>359</v>
      </c>
      <c r="G60" s="187"/>
      <c r="H60" s="134" t="s">
        <v>129</v>
      </c>
      <c r="I60" s="134" t="s">
        <v>326</v>
      </c>
      <c r="J60" s="134"/>
      <c r="K60" s="187">
        <v>60</v>
      </c>
      <c r="L60" s="134">
        <v>0</v>
      </c>
      <c r="M60" s="134" t="s">
        <v>74</v>
      </c>
      <c r="N60" s="134"/>
      <c r="O60" s="187"/>
      <c r="P60" s="134" t="s">
        <v>33</v>
      </c>
      <c r="Q60" s="188"/>
      <c r="R60" s="133">
        <v>17</v>
      </c>
      <c r="S60" s="133" t="s">
        <v>208</v>
      </c>
      <c r="T60" s="134"/>
      <c r="U60" s="189"/>
      <c r="V60" s="189"/>
      <c r="W60" s="189"/>
      <c r="X60" s="190"/>
      <c r="Y60" s="189"/>
      <c r="Z60" s="189"/>
      <c r="AA60" s="134"/>
      <c r="AB60" s="190"/>
      <c r="AC60" s="134"/>
      <c r="AD60" s="191" t="s">
        <v>381</v>
      </c>
    </row>
    <row r="61" spans="1:31" s="191" customFormat="1" ht="30.75" customHeight="1" x14ac:dyDescent="0.25">
      <c r="A61" s="134">
        <v>53</v>
      </c>
      <c r="B61" s="134" t="s">
        <v>6</v>
      </c>
      <c r="C61" s="133" t="s">
        <v>166</v>
      </c>
      <c r="D61" s="184" t="s">
        <v>166</v>
      </c>
      <c r="E61" s="133" t="s">
        <v>366</v>
      </c>
      <c r="F61" s="185" t="s">
        <v>360</v>
      </c>
      <c r="G61" s="187"/>
      <c r="H61" s="134" t="s">
        <v>129</v>
      </c>
      <c r="I61" s="134" t="s">
        <v>320</v>
      </c>
      <c r="J61" s="134"/>
      <c r="K61" s="187">
        <v>75</v>
      </c>
      <c r="L61" s="187">
        <v>0</v>
      </c>
      <c r="M61" s="134" t="s">
        <v>74</v>
      </c>
      <c r="N61" s="134"/>
      <c r="O61" s="187"/>
      <c r="P61" s="134" t="s">
        <v>33</v>
      </c>
      <c r="Q61" s="188"/>
      <c r="R61" s="133">
        <v>17</v>
      </c>
      <c r="S61" s="133" t="s">
        <v>208</v>
      </c>
      <c r="T61" s="134"/>
      <c r="U61" s="189"/>
      <c r="V61" s="189"/>
      <c r="W61" s="189"/>
      <c r="X61" s="190"/>
      <c r="Y61" s="189"/>
      <c r="Z61" s="189"/>
      <c r="AA61" s="134"/>
      <c r="AB61" s="190"/>
      <c r="AC61" s="134"/>
      <c r="AD61" s="191" t="s">
        <v>381</v>
      </c>
    </row>
    <row r="62" spans="1:31" s="192" customFormat="1" ht="30.75" customHeight="1" x14ac:dyDescent="0.25">
      <c r="A62" s="134">
        <v>54</v>
      </c>
      <c r="B62" s="134" t="s">
        <v>6</v>
      </c>
      <c r="C62" s="133" t="s">
        <v>166</v>
      </c>
      <c r="D62" s="184" t="s">
        <v>166</v>
      </c>
      <c r="E62" s="133" t="s">
        <v>367</v>
      </c>
      <c r="F62" s="185" t="s">
        <v>361</v>
      </c>
      <c r="G62" s="187"/>
      <c r="H62" s="134" t="s">
        <v>129</v>
      </c>
      <c r="I62" s="134" t="s">
        <v>346</v>
      </c>
      <c r="J62" s="134"/>
      <c r="K62" s="187">
        <v>45</v>
      </c>
      <c r="L62" s="187">
        <v>0</v>
      </c>
      <c r="M62" s="134" t="s">
        <v>74</v>
      </c>
      <c r="N62" s="134"/>
      <c r="O62" s="134"/>
      <c r="P62" s="134" t="s">
        <v>33</v>
      </c>
      <c r="Q62" s="188"/>
      <c r="R62" s="133">
        <v>17</v>
      </c>
      <c r="S62" s="133" t="s">
        <v>208</v>
      </c>
      <c r="T62" s="134"/>
      <c r="U62" s="189"/>
      <c r="V62" s="189"/>
      <c r="W62" s="189"/>
      <c r="X62" s="190"/>
      <c r="Y62" s="189"/>
      <c r="Z62" s="189"/>
      <c r="AA62" s="134"/>
      <c r="AB62" s="190"/>
      <c r="AC62" s="134"/>
      <c r="AD62" s="195" t="s">
        <v>381</v>
      </c>
    </row>
    <row r="63" spans="1:31" s="192" customFormat="1" ht="30.75" customHeight="1" x14ac:dyDescent="0.25">
      <c r="A63" s="134">
        <v>55</v>
      </c>
      <c r="B63" s="134" t="s">
        <v>6</v>
      </c>
      <c r="C63" s="133" t="s">
        <v>166</v>
      </c>
      <c r="D63" s="184" t="s">
        <v>166</v>
      </c>
      <c r="E63" s="133" t="s">
        <v>368</v>
      </c>
      <c r="F63" s="185" t="s">
        <v>362</v>
      </c>
      <c r="G63" s="187"/>
      <c r="H63" s="134" t="s">
        <v>129</v>
      </c>
      <c r="I63" s="134" t="s">
        <v>371</v>
      </c>
      <c r="J63" s="134"/>
      <c r="K63" s="187">
        <v>0</v>
      </c>
      <c r="L63" s="134">
        <v>90</v>
      </c>
      <c r="M63" s="134"/>
      <c r="N63" s="134"/>
      <c r="O63" s="187" t="s">
        <v>74</v>
      </c>
      <c r="P63" s="134" t="s">
        <v>33</v>
      </c>
      <c r="Q63" s="188"/>
      <c r="R63" s="133">
        <v>17</v>
      </c>
      <c r="S63" s="133" t="s">
        <v>208</v>
      </c>
      <c r="T63" s="134"/>
      <c r="U63" s="189"/>
      <c r="V63" s="189"/>
      <c r="W63" s="189"/>
      <c r="X63" s="190"/>
      <c r="Y63" s="189"/>
      <c r="Z63" s="189"/>
      <c r="AA63" s="134"/>
      <c r="AB63" s="190"/>
      <c r="AC63" s="134"/>
      <c r="AD63" s="195" t="s">
        <v>381</v>
      </c>
    </row>
    <row r="64" spans="1:31" s="192" customFormat="1" ht="30.75" customHeight="1" x14ac:dyDescent="0.25">
      <c r="A64" s="134">
        <v>56</v>
      </c>
      <c r="B64" s="134" t="s">
        <v>6</v>
      </c>
      <c r="C64" s="133" t="s">
        <v>166</v>
      </c>
      <c r="D64" s="184" t="s">
        <v>166</v>
      </c>
      <c r="E64" s="133" t="s">
        <v>369</v>
      </c>
      <c r="F64" s="185" t="s">
        <v>363</v>
      </c>
      <c r="G64" s="187"/>
      <c r="H64" s="134" t="s">
        <v>129</v>
      </c>
      <c r="I64" s="134" t="s">
        <v>371</v>
      </c>
      <c r="J64" s="134"/>
      <c r="K64" s="187">
        <v>0</v>
      </c>
      <c r="L64" s="134">
        <v>90</v>
      </c>
      <c r="M64" s="134"/>
      <c r="N64" s="134"/>
      <c r="O64" s="187" t="s">
        <v>74</v>
      </c>
      <c r="P64" s="134" t="s">
        <v>33</v>
      </c>
      <c r="Q64" s="188"/>
      <c r="R64" s="133">
        <v>17</v>
      </c>
      <c r="S64" s="133" t="s">
        <v>208</v>
      </c>
      <c r="T64" s="134"/>
      <c r="U64" s="189"/>
      <c r="V64" s="189"/>
      <c r="W64" s="189"/>
      <c r="X64" s="190"/>
      <c r="Y64" s="189"/>
      <c r="Z64" s="189"/>
      <c r="AA64" s="134"/>
      <c r="AB64" s="190"/>
      <c r="AC64" s="134"/>
      <c r="AD64" s="195" t="s">
        <v>381</v>
      </c>
    </row>
    <row r="65" spans="1:31" s="192" customFormat="1" ht="30.75" customHeight="1" x14ac:dyDescent="0.25">
      <c r="A65" s="134">
        <v>57</v>
      </c>
      <c r="B65" s="134" t="s">
        <v>6</v>
      </c>
      <c r="C65" s="184" t="s">
        <v>166</v>
      </c>
      <c r="D65" s="184" t="s">
        <v>166</v>
      </c>
      <c r="E65" s="133" t="s">
        <v>370</v>
      </c>
      <c r="F65" s="185" t="s">
        <v>364</v>
      </c>
      <c r="G65" s="187"/>
      <c r="H65" s="134" t="s">
        <v>129</v>
      </c>
      <c r="I65" s="134" t="s">
        <v>320</v>
      </c>
      <c r="J65" s="134"/>
      <c r="K65" s="187">
        <v>75</v>
      </c>
      <c r="L65" s="134">
        <v>0</v>
      </c>
      <c r="M65" s="134" t="s">
        <v>74</v>
      </c>
      <c r="N65" s="134"/>
      <c r="O65" s="187"/>
      <c r="P65" s="134" t="s">
        <v>30</v>
      </c>
      <c r="Q65" s="188"/>
      <c r="R65" s="133">
        <v>17</v>
      </c>
      <c r="S65" s="133" t="s">
        <v>208</v>
      </c>
      <c r="T65" s="134"/>
      <c r="U65" s="189"/>
      <c r="V65" s="189"/>
      <c r="W65" s="189"/>
      <c r="X65" s="190"/>
      <c r="Y65" s="189"/>
      <c r="Z65" s="189"/>
      <c r="AA65" s="134"/>
      <c r="AB65" s="190"/>
      <c r="AC65" s="134"/>
      <c r="AD65" s="195" t="s">
        <v>381</v>
      </c>
      <c r="AE65" s="192">
        <v>0</v>
      </c>
    </row>
    <row r="66" spans="1:31" s="192" customFormat="1" ht="30.75" customHeight="1" x14ac:dyDescent="0.25">
      <c r="A66" s="134">
        <v>58</v>
      </c>
      <c r="B66" s="134" t="s">
        <v>6</v>
      </c>
      <c r="C66" s="184" t="s">
        <v>166</v>
      </c>
      <c r="D66" s="184" t="s">
        <v>166</v>
      </c>
      <c r="E66" s="133" t="s">
        <v>372</v>
      </c>
      <c r="F66" s="185" t="s">
        <v>394</v>
      </c>
      <c r="G66" s="187"/>
      <c r="H66" s="134" t="s">
        <v>129</v>
      </c>
      <c r="I66" s="134" t="s">
        <v>320</v>
      </c>
      <c r="J66" s="134"/>
      <c r="K66" s="134">
        <v>75</v>
      </c>
      <c r="L66" s="134">
        <v>0</v>
      </c>
      <c r="M66" s="134" t="s">
        <v>74</v>
      </c>
      <c r="N66" s="134"/>
      <c r="O66" s="187"/>
      <c r="P66" s="134" t="s">
        <v>30</v>
      </c>
      <c r="Q66" s="188"/>
      <c r="R66" s="133">
        <v>17</v>
      </c>
      <c r="S66" s="133" t="s">
        <v>208</v>
      </c>
      <c r="T66" s="134"/>
      <c r="U66" s="189"/>
      <c r="V66" s="189"/>
      <c r="W66" s="189"/>
      <c r="X66" s="190"/>
      <c r="Y66" s="189"/>
      <c r="Z66" s="189"/>
      <c r="AA66" s="134"/>
      <c r="AB66" s="190"/>
      <c r="AC66" s="134"/>
      <c r="AD66" s="195" t="s">
        <v>381</v>
      </c>
      <c r="AE66" s="192">
        <v>0</v>
      </c>
    </row>
    <row r="67" spans="1:31" s="191" customFormat="1" ht="30.75" customHeight="1" x14ac:dyDescent="0.25">
      <c r="A67" s="134">
        <v>59</v>
      </c>
      <c r="B67" s="134" t="s">
        <v>30</v>
      </c>
      <c r="C67" s="133" t="s">
        <v>253</v>
      </c>
      <c r="D67" s="133" t="s">
        <v>253</v>
      </c>
      <c r="E67" s="133" t="s">
        <v>372</v>
      </c>
      <c r="F67" s="185" t="s">
        <v>376</v>
      </c>
      <c r="G67" s="187"/>
      <c r="H67" s="134" t="s">
        <v>129</v>
      </c>
      <c r="I67" s="134" t="s">
        <v>320</v>
      </c>
      <c r="J67" s="134"/>
      <c r="K67" s="134">
        <v>0</v>
      </c>
      <c r="L67" s="134">
        <v>75</v>
      </c>
      <c r="M67" s="134"/>
      <c r="N67" s="134" t="s">
        <v>74</v>
      </c>
      <c r="O67" s="187"/>
      <c r="P67" s="134" t="s">
        <v>33</v>
      </c>
      <c r="Q67" s="188"/>
      <c r="R67" s="133"/>
      <c r="S67" s="186" t="s">
        <v>383</v>
      </c>
      <c r="T67" s="134"/>
      <c r="U67" s="189"/>
      <c r="V67" s="189"/>
      <c r="W67" s="189"/>
      <c r="X67" s="190"/>
      <c r="Y67" s="189"/>
      <c r="Z67" s="189"/>
      <c r="AA67" s="134"/>
      <c r="AB67" s="190"/>
      <c r="AC67" s="186"/>
      <c r="AD67" s="184" t="s">
        <v>381</v>
      </c>
      <c r="AE67" s="191">
        <v>0</v>
      </c>
    </row>
    <row r="68" spans="1:31" s="191" customFormat="1" ht="30.75" customHeight="1" x14ac:dyDescent="0.25">
      <c r="A68" s="134">
        <v>60</v>
      </c>
      <c r="B68" s="134" t="s">
        <v>30</v>
      </c>
      <c r="C68" s="133" t="s">
        <v>253</v>
      </c>
      <c r="D68" s="133" t="s">
        <v>253</v>
      </c>
      <c r="E68" s="133" t="s">
        <v>373</v>
      </c>
      <c r="F68" s="185" t="s">
        <v>377</v>
      </c>
      <c r="G68" s="187"/>
      <c r="H68" s="134" t="s">
        <v>129</v>
      </c>
      <c r="I68" s="134" t="s">
        <v>371</v>
      </c>
      <c r="J68" s="134"/>
      <c r="K68" s="134">
        <v>0</v>
      </c>
      <c r="L68" s="134">
        <v>90</v>
      </c>
      <c r="M68" s="134"/>
      <c r="N68" s="134"/>
      <c r="O68" s="187" t="s">
        <v>74</v>
      </c>
      <c r="P68" s="134" t="s">
        <v>33</v>
      </c>
      <c r="Q68" s="188"/>
      <c r="R68" s="133"/>
      <c r="S68" s="186" t="s">
        <v>383</v>
      </c>
      <c r="T68" s="134"/>
      <c r="U68" s="189"/>
      <c r="V68" s="189"/>
      <c r="W68" s="189"/>
      <c r="X68" s="190"/>
      <c r="Y68" s="189"/>
      <c r="Z68" s="189"/>
      <c r="AA68" s="134"/>
      <c r="AB68" s="190"/>
      <c r="AC68" s="134"/>
      <c r="AD68" s="196" t="s">
        <v>381</v>
      </c>
    </row>
    <row r="69" spans="1:31" s="191" customFormat="1" ht="30.75" customHeight="1" x14ac:dyDescent="0.25">
      <c r="A69" s="134">
        <v>61</v>
      </c>
      <c r="B69" s="134" t="s">
        <v>30</v>
      </c>
      <c r="C69" s="133" t="s">
        <v>253</v>
      </c>
      <c r="D69" s="133" t="s">
        <v>253</v>
      </c>
      <c r="E69" s="133" t="s">
        <v>374</v>
      </c>
      <c r="F69" s="185" t="s">
        <v>378</v>
      </c>
      <c r="G69" s="187"/>
      <c r="H69" s="134" t="s">
        <v>129</v>
      </c>
      <c r="I69" s="134" t="s">
        <v>371</v>
      </c>
      <c r="J69" s="134"/>
      <c r="K69" s="134">
        <v>0</v>
      </c>
      <c r="L69" s="134">
        <v>90</v>
      </c>
      <c r="M69" s="134"/>
      <c r="N69" s="134"/>
      <c r="O69" s="187" t="s">
        <v>74</v>
      </c>
      <c r="P69" s="134" t="s">
        <v>33</v>
      </c>
      <c r="Q69" s="188"/>
      <c r="R69" s="133"/>
      <c r="S69" s="186" t="s">
        <v>383</v>
      </c>
      <c r="T69" s="134"/>
      <c r="U69" s="189"/>
      <c r="V69" s="189"/>
      <c r="W69" s="189"/>
      <c r="X69" s="190"/>
      <c r="Y69" s="189"/>
      <c r="Z69" s="189"/>
      <c r="AA69" s="134"/>
      <c r="AB69" s="190"/>
      <c r="AC69" s="134"/>
      <c r="AD69" s="196" t="s">
        <v>381</v>
      </c>
    </row>
    <row r="70" spans="1:31" s="191" customFormat="1" ht="30.75" customHeight="1" x14ac:dyDescent="0.25">
      <c r="A70" s="134">
        <v>62</v>
      </c>
      <c r="B70" s="134" t="s">
        <v>30</v>
      </c>
      <c r="C70" s="133" t="s">
        <v>253</v>
      </c>
      <c r="D70" s="133" t="s">
        <v>253</v>
      </c>
      <c r="E70" s="133" t="s">
        <v>375</v>
      </c>
      <c r="F70" s="185" t="s">
        <v>379</v>
      </c>
      <c r="G70" s="187"/>
      <c r="H70" s="134" t="s">
        <v>129</v>
      </c>
      <c r="I70" s="134" t="s">
        <v>371</v>
      </c>
      <c r="J70" s="134"/>
      <c r="K70" s="134">
        <v>0</v>
      </c>
      <c r="L70" s="134">
        <v>90</v>
      </c>
      <c r="M70" s="134"/>
      <c r="N70" s="134"/>
      <c r="O70" s="187" t="s">
        <v>74</v>
      </c>
      <c r="P70" s="134" t="s">
        <v>33</v>
      </c>
      <c r="Q70" s="188"/>
      <c r="R70" s="133"/>
      <c r="S70" s="186" t="s">
        <v>383</v>
      </c>
      <c r="T70" s="134"/>
      <c r="U70" s="189"/>
      <c r="V70" s="189"/>
      <c r="W70" s="189"/>
      <c r="X70" s="190"/>
      <c r="Y70" s="189"/>
      <c r="Z70" s="189"/>
      <c r="AA70" s="134"/>
      <c r="AB70" s="190"/>
      <c r="AC70" s="134"/>
      <c r="AD70" s="196" t="s">
        <v>381</v>
      </c>
    </row>
    <row r="71" spans="1:31" s="191" customFormat="1" ht="30.75" customHeight="1" x14ac:dyDescent="0.25">
      <c r="A71" s="134">
        <v>63</v>
      </c>
      <c r="B71" s="134" t="s">
        <v>30</v>
      </c>
      <c r="C71" s="133" t="s">
        <v>253</v>
      </c>
      <c r="D71" s="133" t="s">
        <v>253</v>
      </c>
      <c r="E71" s="133" t="s">
        <v>203</v>
      </c>
      <c r="F71" s="185" t="s">
        <v>380</v>
      </c>
      <c r="G71" s="187"/>
      <c r="H71" s="134" t="s">
        <v>129</v>
      </c>
      <c r="I71" s="197" t="s">
        <v>326</v>
      </c>
      <c r="J71" s="134"/>
      <c r="K71" s="198">
        <v>60</v>
      </c>
      <c r="L71" s="134">
        <v>0</v>
      </c>
      <c r="M71" s="134" t="s">
        <v>74</v>
      </c>
      <c r="N71" s="134"/>
      <c r="O71" s="187"/>
      <c r="P71" s="134" t="s">
        <v>30</v>
      </c>
      <c r="Q71" s="188"/>
      <c r="R71" s="133"/>
      <c r="S71" s="186" t="s">
        <v>383</v>
      </c>
      <c r="T71" s="134"/>
      <c r="U71" s="189"/>
      <c r="V71" s="189"/>
      <c r="W71" s="189"/>
      <c r="X71" s="190"/>
      <c r="Y71" s="189"/>
      <c r="Z71" s="189"/>
      <c r="AA71" s="134"/>
      <c r="AB71" s="190"/>
      <c r="AC71" s="134"/>
      <c r="AD71" s="199" t="s">
        <v>382</v>
      </c>
      <c r="AE71" s="191">
        <v>90</v>
      </c>
    </row>
    <row r="72" spans="1:31" s="191" customFormat="1" ht="30.75" customHeight="1" x14ac:dyDescent="0.25">
      <c r="A72" s="134">
        <v>64</v>
      </c>
      <c r="B72" s="134" t="s">
        <v>30</v>
      </c>
      <c r="C72" s="133" t="s">
        <v>253</v>
      </c>
      <c r="D72" s="133" t="s">
        <v>253</v>
      </c>
      <c r="E72" s="133" t="s">
        <v>426</v>
      </c>
      <c r="F72" s="185" t="s">
        <v>427</v>
      </c>
      <c r="G72" s="187"/>
      <c r="H72" s="134" t="s">
        <v>129</v>
      </c>
      <c r="I72" s="197" t="s">
        <v>326</v>
      </c>
      <c r="J72" s="134"/>
      <c r="K72" s="198">
        <v>60</v>
      </c>
      <c r="L72" s="134">
        <v>0</v>
      </c>
      <c r="M72" s="134" t="s">
        <v>74</v>
      </c>
      <c r="N72" s="134"/>
      <c r="O72" s="187"/>
      <c r="P72" s="134" t="s">
        <v>30</v>
      </c>
      <c r="Q72" s="188"/>
      <c r="R72" s="133">
        <v>26</v>
      </c>
      <c r="S72" s="186" t="s">
        <v>383</v>
      </c>
      <c r="T72" s="134"/>
      <c r="U72" s="189"/>
      <c r="V72" s="189"/>
      <c r="W72" s="189"/>
      <c r="X72" s="190"/>
      <c r="Y72" s="189"/>
      <c r="Z72" s="189"/>
      <c r="AA72" s="134"/>
      <c r="AB72" s="190"/>
      <c r="AC72" s="134"/>
      <c r="AD72" s="200" t="s">
        <v>382</v>
      </c>
      <c r="AE72" s="191">
        <v>90</v>
      </c>
    </row>
    <row r="73" spans="1:31" s="203" customFormat="1" ht="30.75" customHeight="1" x14ac:dyDescent="0.25">
      <c r="A73" s="134">
        <v>65</v>
      </c>
      <c r="B73" s="134" t="s">
        <v>30</v>
      </c>
      <c r="C73" s="133" t="s">
        <v>253</v>
      </c>
      <c r="D73" s="184" t="s">
        <v>253</v>
      </c>
      <c r="E73" s="133" t="s">
        <v>139</v>
      </c>
      <c r="F73" s="185" t="s">
        <v>428</v>
      </c>
      <c r="G73" s="201"/>
      <c r="H73" s="190" t="s">
        <v>129</v>
      </c>
      <c r="I73" s="202" t="s">
        <v>429</v>
      </c>
      <c r="J73" s="189"/>
      <c r="K73" s="198">
        <v>0</v>
      </c>
      <c r="L73" s="189">
        <v>270</v>
      </c>
      <c r="M73" s="189"/>
      <c r="N73" s="189" t="s">
        <v>74</v>
      </c>
      <c r="O73" s="189"/>
      <c r="P73" s="189" t="s">
        <v>30</v>
      </c>
      <c r="Q73" s="188"/>
      <c r="R73" s="188">
        <v>26</v>
      </c>
      <c r="S73" s="186" t="s">
        <v>383</v>
      </c>
      <c r="T73" s="189"/>
      <c r="U73" s="189"/>
      <c r="V73" s="189"/>
      <c r="W73" s="189"/>
      <c r="X73" s="190"/>
      <c r="Y73" s="189"/>
      <c r="Z73" s="189"/>
      <c r="AA73" s="189"/>
      <c r="AB73" s="190"/>
      <c r="AC73" s="134"/>
      <c r="AD73" s="199" t="s">
        <v>382</v>
      </c>
      <c r="AE73" s="203">
        <v>90</v>
      </c>
    </row>
    <row r="74" spans="1:31" s="192" customFormat="1" ht="30.75" customHeight="1" x14ac:dyDescent="0.25">
      <c r="A74" s="134">
        <v>66</v>
      </c>
      <c r="B74" s="134" t="s">
        <v>6</v>
      </c>
      <c r="C74" s="133" t="s">
        <v>329</v>
      </c>
      <c r="D74" s="133" t="s">
        <v>329</v>
      </c>
      <c r="E74" s="133" t="s">
        <v>384</v>
      </c>
      <c r="F74" s="185" t="s">
        <v>389</v>
      </c>
      <c r="G74" s="187"/>
      <c r="H74" s="186" t="s">
        <v>129</v>
      </c>
      <c r="I74" s="197" t="s">
        <v>395</v>
      </c>
      <c r="J74" s="134"/>
      <c r="K74" s="198">
        <v>45</v>
      </c>
      <c r="L74" s="134">
        <v>0</v>
      </c>
      <c r="M74" s="134" t="s">
        <v>74</v>
      </c>
      <c r="N74" s="134"/>
      <c r="O74" s="134"/>
      <c r="P74" s="134" t="s">
        <v>33</v>
      </c>
      <c r="Q74" s="188"/>
      <c r="R74" s="133">
        <v>17</v>
      </c>
      <c r="S74" s="186" t="s">
        <v>327</v>
      </c>
      <c r="T74" s="134"/>
      <c r="U74" s="189"/>
      <c r="V74" s="189"/>
      <c r="W74" s="189"/>
      <c r="X74" s="190"/>
      <c r="Y74" s="189"/>
      <c r="Z74" s="189"/>
      <c r="AA74" s="134"/>
      <c r="AB74" s="190"/>
      <c r="AC74" s="134"/>
      <c r="AD74" s="199" t="s">
        <v>396</v>
      </c>
      <c r="AE74" s="192">
        <v>60</v>
      </c>
    </row>
    <row r="75" spans="1:31" s="192" customFormat="1" ht="30.75" customHeight="1" x14ac:dyDescent="0.25">
      <c r="A75" s="134">
        <v>67</v>
      </c>
      <c r="B75" s="134" t="s">
        <v>6</v>
      </c>
      <c r="C75" s="133" t="s">
        <v>329</v>
      </c>
      <c r="D75" s="133" t="s">
        <v>329</v>
      </c>
      <c r="E75" s="133" t="s">
        <v>385</v>
      </c>
      <c r="F75" s="185" t="s">
        <v>390</v>
      </c>
      <c r="H75" s="186" t="s">
        <v>129</v>
      </c>
      <c r="I75" s="204" t="s">
        <v>320</v>
      </c>
      <c r="J75" s="134"/>
      <c r="K75" s="134">
        <v>75</v>
      </c>
      <c r="L75" s="134">
        <v>0</v>
      </c>
      <c r="M75" s="134" t="s">
        <v>74</v>
      </c>
      <c r="N75" s="134"/>
      <c r="O75" s="134"/>
      <c r="P75" s="134" t="s">
        <v>33</v>
      </c>
      <c r="Q75" s="188"/>
      <c r="R75" s="133">
        <v>17</v>
      </c>
      <c r="S75" s="186" t="s">
        <v>327</v>
      </c>
      <c r="T75" s="134"/>
      <c r="U75" s="189"/>
      <c r="V75" s="189"/>
      <c r="W75" s="189"/>
      <c r="X75" s="190"/>
      <c r="Y75" s="189"/>
      <c r="Z75" s="189"/>
      <c r="AA75" s="134"/>
      <c r="AB75" s="190"/>
      <c r="AC75" s="134"/>
      <c r="AD75" s="192" t="s">
        <v>381</v>
      </c>
      <c r="AE75" s="192">
        <v>0</v>
      </c>
    </row>
    <row r="76" spans="1:31" s="192" customFormat="1" ht="30.75" customHeight="1" x14ac:dyDescent="0.25">
      <c r="A76" s="134">
        <v>68</v>
      </c>
      <c r="B76" s="134" t="s">
        <v>6</v>
      </c>
      <c r="C76" s="133" t="s">
        <v>329</v>
      </c>
      <c r="D76" s="133" t="s">
        <v>329</v>
      </c>
      <c r="E76" s="133" t="s">
        <v>386</v>
      </c>
      <c r="F76" s="185" t="s">
        <v>391</v>
      </c>
      <c r="G76" s="187"/>
      <c r="H76" s="186" t="s">
        <v>129</v>
      </c>
      <c r="I76" s="186" t="s">
        <v>326</v>
      </c>
      <c r="J76" s="134"/>
      <c r="K76" s="134">
        <v>60</v>
      </c>
      <c r="L76" s="134">
        <v>0</v>
      </c>
      <c r="M76" s="134" t="s">
        <v>74</v>
      </c>
      <c r="N76" s="134"/>
      <c r="O76" s="134"/>
      <c r="P76" s="134" t="s">
        <v>33</v>
      </c>
      <c r="Q76" s="188"/>
      <c r="R76" s="133">
        <v>17</v>
      </c>
      <c r="S76" s="186" t="s">
        <v>327</v>
      </c>
      <c r="T76" s="134"/>
      <c r="U76" s="189"/>
      <c r="V76" s="189"/>
      <c r="W76" s="189"/>
      <c r="X76" s="190"/>
      <c r="Y76" s="189"/>
      <c r="Z76" s="189"/>
      <c r="AA76" s="134"/>
      <c r="AB76" s="190"/>
      <c r="AC76" s="134"/>
      <c r="AD76" s="192" t="s">
        <v>381</v>
      </c>
      <c r="AE76" s="192">
        <v>0</v>
      </c>
    </row>
    <row r="77" spans="1:31" s="192" customFormat="1" ht="30.75" customHeight="1" x14ac:dyDescent="0.25">
      <c r="A77" s="134">
        <v>69</v>
      </c>
      <c r="B77" s="134" t="s">
        <v>6</v>
      </c>
      <c r="C77" s="133" t="s">
        <v>329</v>
      </c>
      <c r="D77" s="133" t="s">
        <v>329</v>
      </c>
      <c r="E77" s="133" t="s">
        <v>387</v>
      </c>
      <c r="F77" s="185" t="s">
        <v>392</v>
      </c>
      <c r="G77" s="187"/>
      <c r="H77" s="186" t="s">
        <v>129</v>
      </c>
      <c r="I77" s="186" t="s">
        <v>320</v>
      </c>
      <c r="J77" s="134"/>
      <c r="K77" s="134">
        <v>75</v>
      </c>
      <c r="L77" s="134">
        <v>0</v>
      </c>
      <c r="M77" s="134" t="s">
        <v>74</v>
      </c>
      <c r="N77" s="134"/>
      <c r="O77" s="134"/>
      <c r="P77" s="134" t="s">
        <v>33</v>
      </c>
      <c r="Q77" s="188"/>
      <c r="R77" s="133">
        <v>17</v>
      </c>
      <c r="S77" s="186" t="s">
        <v>327</v>
      </c>
      <c r="T77" s="134"/>
      <c r="U77" s="189"/>
      <c r="V77" s="189"/>
      <c r="W77" s="189"/>
      <c r="X77" s="190"/>
      <c r="Y77" s="189"/>
      <c r="Z77" s="189"/>
      <c r="AA77" s="134"/>
      <c r="AB77" s="190"/>
      <c r="AC77" s="134"/>
      <c r="AD77" s="192" t="s">
        <v>381</v>
      </c>
      <c r="AE77" s="192">
        <v>0</v>
      </c>
    </row>
    <row r="78" spans="1:31" s="192" customFormat="1" ht="30.75" customHeight="1" x14ac:dyDescent="0.25">
      <c r="A78" s="134">
        <v>70</v>
      </c>
      <c r="B78" s="134" t="s">
        <v>6</v>
      </c>
      <c r="C78" s="133" t="s">
        <v>329</v>
      </c>
      <c r="D78" s="133" t="s">
        <v>329</v>
      </c>
      <c r="E78" s="133" t="s">
        <v>388</v>
      </c>
      <c r="F78" s="185" t="s">
        <v>393</v>
      </c>
      <c r="G78" s="187"/>
      <c r="H78" s="186" t="s">
        <v>129</v>
      </c>
      <c r="I78" s="186" t="s">
        <v>320</v>
      </c>
      <c r="J78" s="134"/>
      <c r="K78" s="134">
        <v>75</v>
      </c>
      <c r="L78" s="134">
        <v>0</v>
      </c>
      <c r="M78" s="134" t="s">
        <v>74</v>
      </c>
      <c r="N78" s="134"/>
      <c r="O78" s="134"/>
      <c r="P78" s="134" t="s">
        <v>33</v>
      </c>
      <c r="Q78" s="188"/>
      <c r="R78" s="133">
        <v>17</v>
      </c>
      <c r="S78" s="186" t="s">
        <v>327</v>
      </c>
      <c r="T78" s="134"/>
      <c r="U78" s="189"/>
      <c r="V78" s="189"/>
      <c r="W78" s="189"/>
      <c r="X78" s="190"/>
      <c r="Y78" s="189"/>
      <c r="Z78" s="189"/>
      <c r="AA78" s="134"/>
      <c r="AB78" s="190"/>
      <c r="AC78" s="134"/>
      <c r="AD78" s="192" t="s">
        <v>381</v>
      </c>
      <c r="AE78" s="192">
        <v>0</v>
      </c>
    </row>
    <row r="79" spans="1:31" s="192" customFormat="1" ht="30.75" customHeight="1" x14ac:dyDescent="0.25">
      <c r="A79" s="134">
        <v>71</v>
      </c>
      <c r="B79" s="134" t="s">
        <v>6</v>
      </c>
      <c r="C79" s="133" t="s">
        <v>329</v>
      </c>
      <c r="D79" s="133" t="s">
        <v>329</v>
      </c>
      <c r="E79" s="133" t="s">
        <v>372</v>
      </c>
      <c r="F79" s="185" t="s">
        <v>394</v>
      </c>
      <c r="G79" s="187"/>
      <c r="H79" s="186" t="s">
        <v>129</v>
      </c>
      <c r="I79" s="186" t="s">
        <v>320</v>
      </c>
      <c r="J79" s="134"/>
      <c r="K79" s="134">
        <v>75</v>
      </c>
      <c r="L79" s="134">
        <v>0</v>
      </c>
      <c r="M79" s="134" t="s">
        <v>74</v>
      </c>
      <c r="N79" s="134"/>
      <c r="O79" s="134"/>
      <c r="P79" s="134" t="s">
        <v>33</v>
      </c>
      <c r="Q79" s="188"/>
      <c r="R79" s="133">
        <v>17</v>
      </c>
      <c r="S79" s="186" t="s">
        <v>327</v>
      </c>
      <c r="T79" s="134"/>
      <c r="U79" s="189"/>
      <c r="V79" s="189"/>
      <c r="W79" s="189"/>
      <c r="X79" s="190"/>
      <c r="Y79" s="189"/>
      <c r="Z79" s="189"/>
      <c r="AA79" s="134"/>
      <c r="AB79" s="190"/>
      <c r="AC79" s="134"/>
      <c r="AD79" s="192" t="s">
        <v>381</v>
      </c>
    </row>
    <row r="80" spans="1:31" s="191" customFormat="1" ht="30.75" customHeight="1" x14ac:dyDescent="0.25">
      <c r="A80" s="134">
        <v>72</v>
      </c>
      <c r="B80" s="134" t="s">
        <v>30</v>
      </c>
      <c r="C80" s="133" t="s">
        <v>258</v>
      </c>
      <c r="D80" s="133" t="s">
        <v>258</v>
      </c>
      <c r="E80" s="133" t="s">
        <v>397</v>
      </c>
      <c r="F80" s="185" t="s">
        <v>399</v>
      </c>
      <c r="G80" s="134"/>
      <c r="H80" s="186" t="s">
        <v>129</v>
      </c>
      <c r="I80" s="186" t="s">
        <v>346</v>
      </c>
      <c r="J80" s="134"/>
      <c r="K80" s="134">
        <v>45</v>
      </c>
      <c r="L80" s="134">
        <v>0</v>
      </c>
      <c r="M80" s="134" t="s">
        <v>74</v>
      </c>
      <c r="N80" s="134"/>
      <c r="O80" s="187"/>
      <c r="P80" s="134" t="s">
        <v>33</v>
      </c>
      <c r="Q80" s="188"/>
      <c r="R80" s="133"/>
      <c r="S80" s="186" t="s">
        <v>286</v>
      </c>
      <c r="T80" s="134"/>
      <c r="U80" s="189"/>
      <c r="V80" s="189"/>
      <c r="W80" s="189"/>
      <c r="X80" s="190"/>
      <c r="Y80" s="189"/>
      <c r="Z80" s="189"/>
      <c r="AA80" s="134"/>
      <c r="AB80" s="190"/>
      <c r="AC80" s="134"/>
      <c r="AD80" s="191" t="s">
        <v>381</v>
      </c>
    </row>
    <row r="81" spans="1:30" s="191" customFormat="1" ht="30.75" customHeight="1" x14ac:dyDescent="0.25">
      <c r="A81" s="134">
        <v>73</v>
      </c>
      <c r="B81" s="134" t="s">
        <v>30</v>
      </c>
      <c r="C81" s="133" t="s">
        <v>258</v>
      </c>
      <c r="D81" s="133" t="s">
        <v>258</v>
      </c>
      <c r="E81" s="133" t="s">
        <v>117</v>
      </c>
      <c r="F81" s="185" t="s">
        <v>400</v>
      </c>
      <c r="G81" s="134"/>
      <c r="H81" s="186" t="s">
        <v>129</v>
      </c>
      <c r="I81" s="186" t="s">
        <v>403</v>
      </c>
      <c r="J81" s="134"/>
      <c r="K81" s="134">
        <v>0</v>
      </c>
      <c r="L81" s="134">
        <v>360</v>
      </c>
      <c r="M81" s="134"/>
      <c r="N81" s="134"/>
      <c r="O81" s="187" t="s">
        <v>74</v>
      </c>
      <c r="P81" s="134" t="s">
        <v>33</v>
      </c>
      <c r="Q81" s="188"/>
      <c r="R81" s="133"/>
      <c r="S81" s="186" t="s">
        <v>286</v>
      </c>
      <c r="T81" s="134"/>
      <c r="U81" s="189"/>
      <c r="V81" s="189"/>
      <c r="W81" s="189"/>
      <c r="X81" s="190"/>
      <c r="Y81" s="189"/>
      <c r="Z81" s="189"/>
      <c r="AA81" s="134"/>
      <c r="AB81" s="190"/>
      <c r="AC81" s="134"/>
    </row>
    <row r="82" spans="1:30" s="191" customFormat="1" ht="30.75" customHeight="1" x14ac:dyDescent="0.25">
      <c r="A82" s="134">
        <v>10</v>
      </c>
      <c r="B82" s="134" t="s">
        <v>30</v>
      </c>
      <c r="C82" s="133" t="s">
        <v>258</v>
      </c>
      <c r="D82" s="133" t="s">
        <v>258</v>
      </c>
      <c r="E82" s="133" t="s">
        <v>139</v>
      </c>
      <c r="F82" s="185" t="s">
        <v>430</v>
      </c>
      <c r="G82" s="134"/>
      <c r="H82" s="186" t="s">
        <v>129</v>
      </c>
      <c r="I82" s="186" t="s">
        <v>429</v>
      </c>
      <c r="J82" s="134"/>
      <c r="K82" s="134">
        <v>0</v>
      </c>
      <c r="L82" s="134">
        <v>270</v>
      </c>
      <c r="M82" s="134"/>
      <c r="N82" s="134" t="s">
        <v>74</v>
      </c>
      <c r="O82" s="187"/>
      <c r="P82" s="134" t="s">
        <v>30</v>
      </c>
      <c r="Q82" s="188"/>
      <c r="R82" s="133">
        <v>26</v>
      </c>
      <c r="S82" s="186" t="s">
        <v>286</v>
      </c>
      <c r="T82" s="134"/>
      <c r="U82" s="189" t="s">
        <v>381</v>
      </c>
      <c r="V82" s="189"/>
      <c r="W82" s="189"/>
      <c r="X82" s="190"/>
      <c r="Y82" s="189"/>
      <c r="Z82" s="189"/>
      <c r="AA82" s="134"/>
      <c r="AB82" s="190"/>
      <c r="AC82" s="134"/>
    </row>
    <row r="83" spans="1:30" s="191" customFormat="1" ht="30.75" customHeight="1" x14ac:dyDescent="0.25">
      <c r="A83" s="134">
        <v>75</v>
      </c>
      <c r="B83" s="134" t="s">
        <v>30</v>
      </c>
      <c r="C83" s="133" t="s">
        <v>258</v>
      </c>
      <c r="D83" s="133" t="s">
        <v>258</v>
      </c>
      <c r="E83" s="133" t="s">
        <v>132</v>
      </c>
      <c r="F83" s="185" t="s">
        <v>401</v>
      </c>
      <c r="G83" s="134"/>
      <c r="H83" s="186" t="s">
        <v>129</v>
      </c>
      <c r="I83" s="186" t="s">
        <v>320</v>
      </c>
      <c r="J83" s="134"/>
      <c r="K83" s="134">
        <v>75</v>
      </c>
      <c r="L83" s="134">
        <v>0</v>
      </c>
      <c r="M83" s="134" t="s">
        <v>74</v>
      </c>
      <c r="N83" s="134"/>
      <c r="O83" s="187"/>
      <c r="P83" s="134" t="s">
        <v>30</v>
      </c>
      <c r="Q83" s="188"/>
      <c r="R83" s="133"/>
      <c r="S83" s="186" t="s">
        <v>286</v>
      </c>
      <c r="T83" s="134"/>
      <c r="U83" s="189"/>
      <c r="V83" s="189"/>
      <c r="W83" s="189"/>
      <c r="X83" s="190"/>
      <c r="Y83" s="189"/>
      <c r="Z83" s="189"/>
      <c r="AA83" s="134"/>
      <c r="AB83" s="190"/>
      <c r="AC83" s="134"/>
      <c r="AD83" s="191" t="s">
        <v>381</v>
      </c>
    </row>
    <row r="84" spans="1:30" s="191" customFormat="1" ht="30.75" customHeight="1" x14ac:dyDescent="0.25">
      <c r="A84" s="134">
        <v>76</v>
      </c>
      <c r="B84" s="134" t="s">
        <v>30</v>
      </c>
      <c r="C84" s="133" t="s">
        <v>258</v>
      </c>
      <c r="D84" s="133" t="s">
        <v>258</v>
      </c>
      <c r="E84" s="133" t="s">
        <v>398</v>
      </c>
      <c r="F84" s="185" t="s">
        <v>402</v>
      </c>
      <c r="G84" s="134"/>
      <c r="H84" s="186" t="s">
        <v>129</v>
      </c>
      <c r="I84" s="186" t="s">
        <v>320</v>
      </c>
      <c r="J84" s="134"/>
      <c r="K84" s="134">
        <v>75</v>
      </c>
      <c r="L84" s="134">
        <v>0</v>
      </c>
      <c r="M84" s="134" t="s">
        <v>74</v>
      </c>
      <c r="N84" s="134"/>
      <c r="O84" s="187"/>
      <c r="P84" s="134" t="s">
        <v>30</v>
      </c>
      <c r="Q84" s="188"/>
      <c r="R84" s="133"/>
      <c r="S84" s="186" t="s">
        <v>286</v>
      </c>
      <c r="T84" s="134"/>
      <c r="U84" s="189"/>
      <c r="V84" s="189"/>
      <c r="W84" s="189"/>
      <c r="X84" s="190"/>
      <c r="Y84" s="189"/>
      <c r="Z84" s="189"/>
      <c r="AA84" s="134"/>
      <c r="AB84" s="190"/>
      <c r="AC84" s="134"/>
      <c r="AD84" s="191" t="s">
        <v>381</v>
      </c>
    </row>
    <row r="85" spans="1:30" s="191" customFormat="1" ht="30.75" customHeight="1" x14ac:dyDescent="0.25">
      <c r="A85" s="134">
        <v>77</v>
      </c>
      <c r="B85" s="134" t="s">
        <v>6</v>
      </c>
      <c r="C85" s="133" t="s">
        <v>136</v>
      </c>
      <c r="D85" s="133" t="s">
        <v>136</v>
      </c>
      <c r="E85" s="133" t="s">
        <v>405</v>
      </c>
      <c r="F85" s="185" t="s">
        <v>404</v>
      </c>
      <c r="G85" s="134"/>
      <c r="H85" s="186" t="s">
        <v>129</v>
      </c>
      <c r="I85" s="186" t="s">
        <v>406</v>
      </c>
      <c r="J85" s="134"/>
      <c r="K85" s="134">
        <v>90</v>
      </c>
      <c r="L85" s="134">
        <v>0</v>
      </c>
      <c r="M85" s="134" t="s">
        <v>74</v>
      </c>
      <c r="N85" s="134"/>
      <c r="O85" s="187"/>
      <c r="P85" s="134" t="s">
        <v>33</v>
      </c>
      <c r="Q85" s="188"/>
      <c r="R85" s="133">
        <v>17</v>
      </c>
      <c r="S85" s="186" t="s">
        <v>207</v>
      </c>
      <c r="T85" s="134"/>
      <c r="U85" s="189"/>
      <c r="V85" s="189"/>
      <c r="W85" s="189"/>
      <c r="X85" s="190"/>
      <c r="Y85" s="189"/>
      <c r="Z85" s="189"/>
      <c r="AA85" s="134"/>
      <c r="AB85" s="190"/>
      <c r="AC85" s="134"/>
    </row>
    <row r="86" spans="1:30" s="192" customFormat="1" ht="22.5" customHeight="1" x14ac:dyDescent="0.25">
      <c r="A86" s="134">
        <v>78</v>
      </c>
      <c r="B86" s="134" t="s">
        <v>6</v>
      </c>
      <c r="C86" s="133" t="s">
        <v>136</v>
      </c>
      <c r="D86" s="133" t="s">
        <v>136</v>
      </c>
      <c r="E86" s="192" t="s">
        <v>407</v>
      </c>
      <c r="F86" s="185" t="s">
        <v>408</v>
      </c>
      <c r="G86" s="134"/>
      <c r="H86" s="186" t="s">
        <v>129</v>
      </c>
      <c r="I86" s="186" t="s">
        <v>322</v>
      </c>
      <c r="J86" s="134"/>
      <c r="K86" s="134">
        <v>60</v>
      </c>
      <c r="L86" s="134">
        <v>0</v>
      </c>
      <c r="M86" s="134" t="s">
        <v>74</v>
      </c>
      <c r="N86" s="134"/>
      <c r="O86" s="187"/>
      <c r="P86" s="134" t="s">
        <v>33</v>
      </c>
      <c r="Q86" s="188"/>
      <c r="R86" s="133">
        <v>17</v>
      </c>
      <c r="S86" s="186" t="s">
        <v>207</v>
      </c>
      <c r="T86" s="134"/>
      <c r="U86" s="189"/>
      <c r="V86" s="189"/>
      <c r="W86" s="189"/>
      <c r="X86" s="190"/>
      <c r="Y86" s="189"/>
      <c r="Z86" s="189"/>
      <c r="AA86" s="134"/>
      <c r="AB86" s="190"/>
      <c r="AC86" s="134"/>
    </row>
    <row r="87" spans="1:30" s="192" customFormat="1" ht="24" x14ac:dyDescent="0.25">
      <c r="A87" s="134">
        <v>79</v>
      </c>
      <c r="B87" s="134" t="s">
        <v>6</v>
      </c>
      <c r="C87" s="133" t="s">
        <v>136</v>
      </c>
      <c r="D87" s="133" t="s">
        <v>136</v>
      </c>
      <c r="E87" s="133" t="s">
        <v>409</v>
      </c>
      <c r="F87" s="185" t="s">
        <v>413</v>
      </c>
      <c r="G87" s="134"/>
      <c r="H87" s="186" t="s">
        <v>129</v>
      </c>
      <c r="I87" s="186" t="s">
        <v>325</v>
      </c>
      <c r="J87" s="134"/>
      <c r="K87" s="134">
        <v>75</v>
      </c>
      <c r="L87" s="134">
        <v>0</v>
      </c>
      <c r="M87" s="134" t="s">
        <v>74</v>
      </c>
      <c r="N87" s="134"/>
      <c r="O87" s="187"/>
      <c r="P87" s="134" t="s">
        <v>33</v>
      </c>
      <c r="Q87" s="188"/>
      <c r="R87" s="133">
        <v>17</v>
      </c>
      <c r="S87" s="186" t="s">
        <v>207</v>
      </c>
      <c r="T87" s="134"/>
      <c r="U87" s="189"/>
      <c r="V87" s="189"/>
      <c r="W87" s="189"/>
      <c r="X87" s="190"/>
      <c r="Y87" s="189"/>
      <c r="Z87" s="189"/>
      <c r="AA87" s="134"/>
      <c r="AB87" s="190"/>
      <c r="AC87" s="134"/>
    </row>
    <row r="88" spans="1:30" s="192" customFormat="1" ht="24" x14ac:dyDescent="0.25">
      <c r="A88" s="134">
        <v>80</v>
      </c>
      <c r="B88" s="134" t="s">
        <v>6</v>
      </c>
      <c r="C88" s="133" t="s">
        <v>136</v>
      </c>
      <c r="D88" s="133" t="s">
        <v>136</v>
      </c>
      <c r="E88" s="133" t="s">
        <v>410</v>
      </c>
      <c r="F88" s="185" t="s">
        <v>414</v>
      </c>
      <c r="G88" s="134"/>
      <c r="H88" s="186" t="s">
        <v>129</v>
      </c>
      <c r="I88" s="186" t="s">
        <v>322</v>
      </c>
      <c r="J88" s="134"/>
      <c r="K88" s="134">
        <v>60</v>
      </c>
      <c r="L88" s="134">
        <v>0</v>
      </c>
      <c r="M88" s="134" t="s">
        <v>74</v>
      </c>
      <c r="N88" s="134"/>
      <c r="O88" s="187"/>
      <c r="P88" s="134" t="s">
        <v>33</v>
      </c>
      <c r="Q88" s="188"/>
      <c r="R88" s="133">
        <v>17</v>
      </c>
      <c r="S88" s="186" t="s">
        <v>207</v>
      </c>
      <c r="T88" s="134"/>
      <c r="U88" s="189"/>
      <c r="V88" s="189"/>
      <c r="W88" s="189"/>
      <c r="X88" s="190"/>
      <c r="Y88" s="189"/>
      <c r="Z88" s="189"/>
      <c r="AA88" s="134"/>
      <c r="AB88" s="190"/>
      <c r="AC88" s="134"/>
    </row>
    <row r="89" spans="1:30" s="192" customFormat="1" ht="24" x14ac:dyDescent="0.25">
      <c r="A89" s="134">
        <v>81</v>
      </c>
      <c r="B89" s="134" t="s">
        <v>6</v>
      </c>
      <c r="C89" s="133" t="s">
        <v>136</v>
      </c>
      <c r="D89" s="133" t="s">
        <v>136</v>
      </c>
      <c r="E89" s="133" t="s">
        <v>411</v>
      </c>
      <c r="F89" s="185" t="s">
        <v>415</v>
      </c>
      <c r="G89" s="134"/>
      <c r="H89" s="186" t="s">
        <v>129</v>
      </c>
      <c r="I89" s="186" t="s">
        <v>322</v>
      </c>
      <c r="J89" s="134"/>
      <c r="K89" s="134">
        <v>60</v>
      </c>
      <c r="L89" s="134">
        <v>0</v>
      </c>
      <c r="M89" s="134" t="s">
        <v>74</v>
      </c>
      <c r="N89" s="134"/>
      <c r="O89" s="187"/>
      <c r="P89" s="134" t="s">
        <v>33</v>
      </c>
      <c r="Q89" s="188"/>
      <c r="R89" s="133">
        <v>17</v>
      </c>
      <c r="S89" s="186" t="s">
        <v>207</v>
      </c>
      <c r="T89" s="134"/>
      <c r="U89" s="189"/>
      <c r="V89" s="189"/>
      <c r="W89" s="189"/>
      <c r="X89" s="190"/>
      <c r="Y89" s="189"/>
      <c r="Z89" s="189"/>
      <c r="AA89" s="134"/>
      <c r="AB89" s="190"/>
      <c r="AC89" s="134"/>
    </row>
    <row r="90" spans="1:30" s="192" customFormat="1" ht="24" x14ac:dyDescent="0.25">
      <c r="A90" s="134">
        <v>82</v>
      </c>
      <c r="B90" s="134" t="s">
        <v>6</v>
      </c>
      <c r="C90" s="133" t="s">
        <v>136</v>
      </c>
      <c r="D90" s="133" t="s">
        <v>136</v>
      </c>
      <c r="E90" s="133" t="s">
        <v>412</v>
      </c>
      <c r="F90" s="185" t="s">
        <v>416</v>
      </c>
      <c r="G90" s="134"/>
      <c r="H90" s="186" t="s">
        <v>129</v>
      </c>
      <c r="I90" s="186" t="s">
        <v>322</v>
      </c>
      <c r="J90" s="134"/>
      <c r="K90" s="134">
        <v>60</v>
      </c>
      <c r="L90" s="134">
        <v>0</v>
      </c>
      <c r="M90" s="134" t="s">
        <v>74</v>
      </c>
      <c r="N90" s="134"/>
      <c r="O90" s="187"/>
      <c r="P90" s="134" t="s">
        <v>33</v>
      </c>
      <c r="Q90" s="188"/>
      <c r="R90" s="133">
        <v>17</v>
      </c>
      <c r="S90" s="186" t="s">
        <v>207</v>
      </c>
      <c r="T90" s="134"/>
      <c r="U90" s="189"/>
      <c r="V90" s="189"/>
      <c r="W90" s="189"/>
      <c r="X90" s="190"/>
      <c r="Y90" s="189"/>
      <c r="Z90" s="189"/>
      <c r="AA90" s="134"/>
      <c r="AB90" s="190"/>
      <c r="AC90" s="134"/>
    </row>
    <row r="91" spans="1:30" s="192" customFormat="1" ht="12" x14ac:dyDescent="0.25">
      <c r="A91" s="134">
        <v>83</v>
      </c>
      <c r="B91" s="134" t="s">
        <v>30</v>
      </c>
      <c r="C91" s="133" t="s">
        <v>244</v>
      </c>
      <c r="D91" s="133" t="s">
        <v>244</v>
      </c>
      <c r="E91" s="133" t="s">
        <v>117</v>
      </c>
      <c r="F91" s="185" t="s">
        <v>417</v>
      </c>
      <c r="G91" s="134"/>
      <c r="H91" s="186" t="s">
        <v>129</v>
      </c>
      <c r="I91" s="186" t="s">
        <v>418</v>
      </c>
      <c r="J91" s="134"/>
      <c r="K91" s="134">
        <v>0</v>
      </c>
      <c r="L91" s="134">
        <v>360</v>
      </c>
      <c r="M91" s="134"/>
      <c r="N91" s="134"/>
      <c r="O91" s="187" t="s">
        <v>74</v>
      </c>
      <c r="P91" s="134" t="s">
        <v>33</v>
      </c>
      <c r="Q91" s="188"/>
      <c r="R91" s="133">
        <v>26</v>
      </c>
      <c r="S91" s="186" t="s">
        <v>424</v>
      </c>
      <c r="T91" s="134"/>
      <c r="U91" s="189"/>
      <c r="V91" s="189"/>
      <c r="W91" s="189"/>
      <c r="X91" s="190"/>
      <c r="Y91" s="189"/>
      <c r="Z91" s="189"/>
      <c r="AA91" s="134"/>
      <c r="AB91" s="190"/>
      <c r="AC91" s="134"/>
    </row>
    <row r="92" spans="1:30" s="191" customFormat="1" ht="12" x14ac:dyDescent="0.25">
      <c r="A92" s="134">
        <v>84</v>
      </c>
      <c r="B92" s="134" t="s">
        <v>30</v>
      </c>
      <c r="C92" s="133" t="s">
        <v>244</v>
      </c>
      <c r="D92" s="133" t="s">
        <v>244</v>
      </c>
      <c r="E92" s="133" t="s">
        <v>139</v>
      </c>
      <c r="F92" s="185" t="s">
        <v>431</v>
      </c>
      <c r="G92" s="134"/>
      <c r="H92" s="186" t="s">
        <v>129</v>
      </c>
      <c r="I92" s="186" t="s">
        <v>432</v>
      </c>
      <c r="J92" s="134"/>
      <c r="K92" s="134">
        <v>0</v>
      </c>
      <c r="L92" s="134">
        <v>270</v>
      </c>
      <c r="M92" s="134"/>
      <c r="N92" s="134" t="s">
        <v>74</v>
      </c>
      <c r="O92" s="134"/>
      <c r="P92" s="134" t="s">
        <v>30</v>
      </c>
      <c r="Q92" s="188"/>
      <c r="R92" s="133">
        <v>26</v>
      </c>
      <c r="S92" s="186" t="s">
        <v>424</v>
      </c>
      <c r="T92" s="134"/>
      <c r="U92" s="189"/>
      <c r="V92" s="189"/>
      <c r="W92" s="189"/>
      <c r="X92" s="190"/>
      <c r="Y92" s="189"/>
      <c r="Z92" s="189"/>
      <c r="AA92" s="134"/>
      <c r="AB92" s="190"/>
      <c r="AC92" s="134"/>
    </row>
    <row r="93" spans="1:30" s="191" customFormat="1" ht="12" x14ac:dyDescent="0.25">
      <c r="A93" s="134">
        <v>85</v>
      </c>
      <c r="B93" s="134" t="s">
        <v>30</v>
      </c>
      <c r="C93" s="133" t="s">
        <v>244</v>
      </c>
      <c r="D93" s="133" t="s">
        <v>244</v>
      </c>
      <c r="E93" s="133" t="s">
        <v>278</v>
      </c>
      <c r="F93" s="185" t="s">
        <v>419</v>
      </c>
      <c r="G93" s="134"/>
      <c r="H93" s="186" t="s">
        <v>129</v>
      </c>
      <c r="I93" s="186" t="s">
        <v>325</v>
      </c>
      <c r="J93" s="134"/>
      <c r="K93" s="134">
        <v>0</v>
      </c>
      <c r="L93" s="134">
        <v>75</v>
      </c>
      <c r="M93" s="134"/>
      <c r="N93" s="134" t="s">
        <v>74</v>
      </c>
      <c r="O93" s="134"/>
      <c r="P93" s="134" t="s">
        <v>30</v>
      </c>
      <c r="Q93" s="188"/>
      <c r="R93" s="133">
        <v>26</v>
      </c>
      <c r="S93" s="186" t="s">
        <v>424</v>
      </c>
      <c r="T93" s="134"/>
      <c r="U93" s="189"/>
      <c r="V93" s="189"/>
      <c r="W93" s="189"/>
      <c r="X93" s="190"/>
      <c r="Y93" s="189"/>
      <c r="Z93" s="189"/>
      <c r="AA93" s="134"/>
      <c r="AB93" s="190"/>
      <c r="AC93" s="134"/>
    </row>
    <row r="94" spans="1:30" s="191" customFormat="1" ht="12" x14ac:dyDescent="0.25">
      <c r="A94" s="134">
        <v>86</v>
      </c>
      <c r="B94" s="134" t="s">
        <v>30</v>
      </c>
      <c r="C94" s="133" t="s">
        <v>244</v>
      </c>
      <c r="D94" s="133" t="s">
        <v>244</v>
      </c>
      <c r="E94" s="133" t="s">
        <v>420</v>
      </c>
      <c r="F94" s="185" t="s">
        <v>421</v>
      </c>
      <c r="G94" s="134"/>
      <c r="H94" s="186" t="s">
        <v>129</v>
      </c>
      <c r="I94" s="186" t="s">
        <v>325</v>
      </c>
      <c r="J94" s="134"/>
      <c r="K94" s="134">
        <v>0</v>
      </c>
      <c r="L94" s="134">
        <v>75</v>
      </c>
      <c r="M94" s="134"/>
      <c r="N94" s="134" t="s">
        <v>74</v>
      </c>
      <c r="O94" s="134"/>
      <c r="P94" s="134" t="s">
        <v>30</v>
      </c>
      <c r="Q94" s="188"/>
      <c r="R94" s="133">
        <v>26</v>
      </c>
      <c r="S94" s="186" t="s">
        <v>424</v>
      </c>
      <c r="T94" s="134"/>
      <c r="U94" s="189"/>
      <c r="V94" s="189"/>
      <c r="W94" s="189"/>
      <c r="X94" s="190"/>
      <c r="Y94" s="189"/>
      <c r="Z94" s="189"/>
      <c r="AA94" s="134"/>
      <c r="AB94" s="190"/>
      <c r="AC94" s="134"/>
    </row>
    <row r="95" spans="1:30" s="191" customFormat="1" ht="12" x14ac:dyDescent="0.25">
      <c r="A95" s="134">
        <v>87</v>
      </c>
      <c r="B95" s="134" t="s">
        <v>30</v>
      </c>
      <c r="C95" s="133" t="s">
        <v>244</v>
      </c>
      <c r="D95" s="133" t="s">
        <v>244</v>
      </c>
      <c r="E95" s="133" t="s">
        <v>251</v>
      </c>
      <c r="F95" s="185" t="s">
        <v>422</v>
      </c>
      <c r="G95" s="134"/>
      <c r="H95" s="186" t="s">
        <v>129</v>
      </c>
      <c r="I95" s="186" t="s">
        <v>325</v>
      </c>
      <c r="J95" s="134"/>
      <c r="K95" s="134">
        <v>0</v>
      </c>
      <c r="L95" s="134">
        <v>75</v>
      </c>
      <c r="M95" s="134"/>
      <c r="N95" s="134" t="s">
        <v>74</v>
      </c>
      <c r="O95" s="134"/>
      <c r="P95" s="134" t="s">
        <v>30</v>
      </c>
      <c r="Q95" s="188"/>
      <c r="R95" s="133">
        <v>26</v>
      </c>
      <c r="S95" s="186" t="s">
        <v>424</v>
      </c>
      <c r="T95" s="134"/>
      <c r="U95" s="189"/>
      <c r="V95" s="189"/>
      <c r="W95" s="189"/>
      <c r="X95" s="190"/>
      <c r="Y95" s="189"/>
      <c r="Z95" s="189"/>
      <c r="AA95" s="134"/>
      <c r="AB95" s="190"/>
      <c r="AC95" s="134"/>
    </row>
    <row r="96" spans="1:30" s="191" customFormat="1" ht="12" x14ac:dyDescent="0.25">
      <c r="A96" s="134">
        <v>88</v>
      </c>
      <c r="B96" s="134" t="s">
        <v>30</v>
      </c>
      <c r="C96" s="133" t="s">
        <v>244</v>
      </c>
      <c r="D96" s="133" t="s">
        <v>244</v>
      </c>
      <c r="E96" s="133" t="s">
        <v>409</v>
      </c>
      <c r="F96" s="185" t="s">
        <v>423</v>
      </c>
      <c r="G96" s="134"/>
      <c r="H96" s="186" t="s">
        <v>129</v>
      </c>
      <c r="I96" s="186" t="s">
        <v>325</v>
      </c>
      <c r="J96" s="134"/>
      <c r="K96" s="134">
        <v>0</v>
      </c>
      <c r="L96" s="134">
        <v>75</v>
      </c>
      <c r="M96" s="134"/>
      <c r="N96" s="134" t="s">
        <v>74</v>
      </c>
      <c r="O96" s="134"/>
      <c r="P96" s="134" t="s">
        <v>30</v>
      </c>
      <c r="Q96" s="188"/>
      <c r="R96" s="133">
        <v>26</v>
      </c>
      <c r="S96" s="186" t="s">
        <v>424</v>
      </c>
      <c r="T96" s="134"/>
      <c r="U96" s="189"/>
      <c r="V96" s="189"/>
      <c r="W96" s="189"/>
      <c r="X96" s="190"/>
      <c r="Y96" s="189"/>
      <c r="Z96" s="189"/>
      <c r="AA96" s="134"/>
      <c r="AB96" s="190"/>
      <c r="AC96" s="134"/>
    </row>
    <row r="97" spans="1:29" s="191" customFormat="1" ht="12" x14ac:dyDescent="0.25">
      <c r="A97" s="134">
        <f>SUBTOTAL(3,B$9:$B97)</f>
        <v>89</v>
      </c>
      <c r="B97" s="134" t="s">
        <v>30</v>
      </c>
      <c r="C97" s="133"/>
      <c r="D97" s="133"/>
      <c r="E97" s="133"/>
      <c r="F97" s="185"/>
      <c r="G97" s="134"/>
      <c r="H97" s="186"/>
      <c r="I97" s="186"/>
      <c r="J97" s="134"/>
      <c r="K97" s="134"/>
      <c r="L97" s="134"/>
      <c r="M97" s="134"/>
      <c r="N97" s="134"/>
      <c r="O97" s="134"/>
      <c r="P97" s="134"/>
      <c r="Q97" s="188"/>
      <c r="R97" s="133"/>
      <c r="S97" s="186"/>
      <c r="T97" s="134"/>
      <c r="U97" s="189"/>
      <c r="V97" s="189"/>
      <c r="W97" s="189"/>
      <c r="X97" s="190"/>
      <c r="Y97" s="189"/>
      <c r="Z97" s="189"/>
      <c r="AA97" s="134"/>
      <c r="AB97" s="190"/>
      <c r="AC97" s="134"/>
    </row>
    <row r="98" spans="1:29" s="191" customFormat="1" ht="12" x14ac:dyDescent="0.25">
      <c r="A98" s="134">
        <f>SUBTOTAL(3,B$9:$B98)</f>
        <v>90</v>
      </c>
      <c r="B98" s="134" t="s">
        <v>30</v>
      </c>
      <c r="C98" s="133"/>
      <c r="D98" s="133"/>
      <c r="E98" s="133"/>
      <c r="F98" s="185"/>
      <c r="G98" s="134"/>
      <c r="H98" s="186"/>
      <c r="I98" s="186"/>
      <c r="J98" s="134"/>
      <c r="K98" s="134"/>
      <c r="L98" s="134"/>
      <c r="M98" s="134"/>
      <c r="N98" s="134"/>
      <c r="O98" s="134"/>
      <c r="P98" s="134"/>
      <c r="Q98" s="188"/>
      <c r="R98" s="133"/>
      <c r="S98" s="186"/>
      <c r="T98" s="134"/>
      <c r="U98" s="189"/>
      <c r="V98" s="189"/>
      <c r="W98" s="189"/>
      <c r="X98" s="190"/>
      <c r="Y98" s="189"/>
      <c r="Z98" s="189"/>
      <c r="AA98" s="134"/>
      <c r="AB98" s="190"/>
      <c r="AC98" s="134"/>
    </row>
    <row r="99" spans="1:29" s="192" customFormat="1" ht="12" x14ac:dyDescent="0.25">
      <c r="A99" s="134">
        <f>SUBTOTAL(3,B$9:$B99)</f>
        <v>91</v>
      </c>
      <c r="B99" s="134" t="s">
        <v>30</v>
      </c>
      <c r="C99" s="133"/>
      <c r="D99" s="133"/>
      <c r="E99" s="133"/>
      <c r="F99" s="185"/>
      <c r="G99" s="134"/>
      <c r="H99" s="186"/>
      <c r="I99" s="186"/>
      <c r="J99" s="134"/>
      <c r="K99" s="134"/>
      <c r="L99" s="134"/>
      <c r="M99" s="134"/>
      <c r="N99" s="134"/>
      <c r="O99" s="134"/>
      <c r="P99" s="134"/>
      <c r="Q99" s="188"/>
      <c r="R99" s="133"/>
      <c r="S99" s="186"/>
      <c r="T99" s="134"/>
      <c r="U99" s="189"/>
      <c r="V99" s="189"/>
      <c r="W99" s="189"/>
      <c r="X99" s="190"/>
      <c r="Y99" s="189"/>
      <c r="Z99" s="189"/>
      <c r="AA99" s="134"/>
      <c r="AB99" s="190"/>
      <c r="AC99" s="134"/>
    </row>
    <row r="100" spans="1:29" s="192" customFormat="1" ht="12" x14ac:dyDescent="0.25">
      <c r="A100" s="134">
        <f>SUBTOTAL(3,B$9:$B100)</f>
        <v>92</v>
      </c>
      <c r="B100" s="134" t="s">
        <v>30</v>
      </c>
      <c r="C100" s="133"/>
      <c r="D100" s="133"/>
      <c r="E100" s="133"/>
      <c r="F100" s="185"/>
      <c r="G100" s="134"/>
      <c r="H100" s="186"/>
      <c r="I100" s="186"/>
      <c r="J100" s="134"/>
      <c r="K100" s="134"/>
      <c r="L100" s="134"/>
      <c r="M100" s="134"/>
      <c r="N100" s="134"/>
      <c r="O100" s="134"/>
      <c r="P100" s="134"/>
      <c r="Q100" s="188"/>
      <c r="R100" s="133"/>
      <c r="S100" s="186"/>
      <c r="T100" s="134"/>
      <c r="U100" s="189"/>
      <c r="V100" s="189"/>
      <c r="W100" s="189"/>
      <c r="X100" s="190"/>
      <c r="Y100" s="189"/>
      <c r="Z100" s="189"/>
      <c r="AA100" s="134"/>
      <c r="AB100" s="190"/>
      <c r="AC100" s="134"/>
    </row>
    <row r="101" spans="1:29" s="192" customFormat="1" ht="12" x14ac:dyDescent="0.25">
      <c r="A101" s="134">
        <f>SUBTOTAL(3,B$9:$B101)</f>
        <v>93</v>
      </c>
      <c r="B101" s="134" t="s">
        <v>30</v>
      </c>
      <c r="C101" s="133"/>
      <c r="D101" s="133"/>
      <c r="E101" s="133"/>
      <c r="F101" s="185"/>
      <c r="G101" s="134"/>
      <c r="H101" s="186"/>
      <c r="I101" s="186"/>
      <c r="J101" s="134"/>
      <c r="K101" s="134"/>
      <c r="L101" s="134"/>
      <c r="M101" s="134"/>
      <c r="N101" s="134"/>
      <c r="O101" s="134"/>
      <c r="P101" s="134"/>
      <c r="Q101" s="188"/>
      <c r="R101" s="133"/>
      <c r="S101" s="186"/>
      <c r="T101" s="134"/>
      <c r="U101" s="189"/>
      <c r="V101" s="189"/>
      <c r="W101" s="189"/>
      <c r="X101" s="190"/>
      <c r="Y101" s="189"/>
      <c r="Z101" s="189"/>
      <c r="AA101" s="134"/>
      <c r="AB101" s="190"/>
      <c r="AC101" s="134"/>
    </row>
    <row r="102" spans="1:29" s="192" customFormat="1" ht="12" x14ac:dyDescent="0.25">
      <c r="A102" s="134">
        <f>SUBTOTAL(3,B$9:$B102)</f>
        <v>94</v>
      </c>
      <c r="B102" s="134" t="s">
        <v>30</v>
      </c>
      <c r="C102" s="133"/>
      <c r="D102" s="133"/>
      <c r="E102" s="133"/>
      <c r="F102" s="185"/>
      <c r="G102" s="134"/>
      <c r="H102" s="186"/>
      <c r="I102" s="186"/>
      <c r="J102" s="134"/>
      <c r="K102" s="134"/>
      <c r="L102" s="134"/>
      <c r="M102" s="134"/>
      <c r="N102" s="134"/>
      <c r="O102" s="134"/>
      <c r="P102" s="134"/>
      <c r="Q102" s="188"/>
      <c r="R102" s="133"/>
      <c r="S102" s="186"/>
      <c r="T102" s="134"/>
      <c r="U102" s="189"/>
      <c r="V102" s="189"/>
      <c r="W102" s="189"/>
      <c r="X102" s="190"/>
      <c r="Y102" s="189"/>
      <c r="Z102" s="189"/>
      <c r="AA102" s="134"/>
      <c r="AB102" s="190"/>
      <c r="AC102" s="134"/>
    </row>
    <row r="103" spans="1:29" s="192" customFormat="1" ht="12" x14ac:dyDescent="0.25">
      <c r="A103" s="134">
        <f>SUBTOTAL(3,B$9:$B103)</f>
        <v>95</v>
      </c>
      <c r="B103" s="134" t="s">
        <v>30</v>
      </c>
      <c r="C103" s="133"/>
      <c r="D103" s="133"/>
      <c r="E103" s="133"/>
      <c r="F103" s="185"/>
      <c r="G103" s="134"/>
      <c r="H103" s="186"/>
      <c r="I103" s="186"/>
      <c r="J103" s="134"/>
      <c r="K103" s="134"/>
      <c r="L103" s="134"/>
      <c r="M103" s="134"/>
      <c r="N103" s="134"/>
      <c r="O103" s="187"/>
      <c r="P103" s="134"/>
      <c r="Q103" s="188"/>
      <c r="R103" s="133"/>
      <c r="S103" s="186"/>
      <c r="T103" s="134"/>
      <c r="U103" s="189"/>
      <c r="V103" s="189"/>
      <c r="W103" s="189"/>
      <c r="X103" s="190"/>
      <c r="Y103" s="189"/>
      <c r="Z103" s="189"/>
      <c r="AA103" s="134"/>
      <c r="AB103" s="190"/>
      <c r="AC103" s="134"/>
    </row>
    <row r="104" spans="1:29" s="192" customFormat="1" ht="12" x14ac:dyDescent="0.25">
      <c r="A104" s="134">
        <f>SUBTOTAL(3,B$9:$B104)</f>
        <v>96</v>
      </c>
      <c r="B104" s="134" t="s">
        <v>30</v>
      </c>
      <c r="C104" s="133"/>
      <c r="D104" s="133"/>
      <c r="E104" s="133"/>
      <c r="F104" s="185"/>
      <c r="G104" s="134"/>
      <c r="H104" s="186"/>
      <c r="I104" s="186"/>
      <c r="J104" s="134"/>
      <c r="K104" s="134"/>
      <c r="L104" s="134"/>
      <c r="M104" s="134"/>
      <c r="N104" s="134"/>
      <c r="O104" s="187"/>
      <c r="P104" s="134"/>
      <c r="Q104" s="188"/>
      <c r="R104" s="133"/>
      <c r="S104" s="186"/>
      <c r="T104" s="134"/>
      <c r="U104" s="189"/>
      <c r="V104" s="189"/>
      <c r="W104" s="189"/>
      <c r="X104" s="190"/>
      <c r="Y104" s="189"/>
      <c r="Z104" s="189"/>
      <c r="AA104" s="134"/>
      <c r="AB104" s="190"/>
      <c r="AC104" s="134"/>
    </row>
    <row r="105" spans="1:29" x14ac:dyDescent="0.2">
      <c r="A105" s="171" t="s">
        <v>294</v>
      </c>
    </row>
  </sheetData>
  <autoFilter ref="A8:AD105" xr:uid="{00000000-0001-0000-0100-000000000000}"/>
  <sortState xmlns:xlrd2="http://schemas.microsoft.com/office/spreadsheetml/2017/richdata2" ref="E31:S52">
    <sortCondition ref="S31:S52"/>
  </sortState>
  <mergeCells count="8">
    <mergeCell ref="A6:AC6"/>
    <mergeCell ref="A1:F1"/>
    <mergeCell ref="L1:AC1"/>
    <mergeCell ref="A2:F2"/>
    <mergeCell ref="L2:AC2"/>
    <mergeCell ref="A3:F3"/>
    <mergeCell ref="A4:F4"/>
    <mergeCell ref="L4:AC4"/>
  </mergeCells>
  <pageMargins left="0.2" right="0.2" top="0.4" bottom="0.5" header="0.3" footer="0"/>
  <pageSetup scale="77" fitToHeight="0" orientation="landscape" blackAndWhite="1" r:id="rId1"/>
  <headerFooter>
    <oddFooter>&amp;LBM03a-QT/11/P.QLĐT&amp;R&amp;P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AP121"/>
  <sheetViews>
    <sheetView zoomScaleNormal="100" zoomScaleSheetLayoutView="100" workbookViewId="0">
      <pane ySplit="8" topLeftCell="A9" activePane="bottomLeft" state="frozen"/>
      <selection pane="bottomLeft" activeCell="F8" sqref="F8"/>
    </sheetView>
  </sheetViews>
  <sheetFormatPr defaultRowHeight="12.75" x14ac:dyDescent="0.2"/>
  <cols>
    <col min="1" max="1" width="4.85546875" style="2" customWidth="1"/>
    <col min="2" max="2" width="4.140625" style="2" customWidth="1"/>
    <col min="3" max="3" width="16.7109375" style="2" customWidth="1"/>
    <col min="4" max="4" width="16.140625" style="4" customWidth="1"/>
    <col min="5" max="5" width="21.7109375" style="3" customWidth="1"/>
    <col min="6" max="6" width="12.7109375" style="4" customWidth="1"/>
    <col min="7" max="7" width="11.28515625" style="21" customWidth="1"/>
    <col min="8" max="8" width="9.85546875" style="4" customWidth="1"/>
    <col min="9" max="9" width="7.7109375" style="2" customWidth="1"/>
    <col min="10" max="11" width="4.28515625" style="2" customWidth="1"/>
    <col min="12" max="12" width="5.85546875" style="2" customWidth="1"/>
    <col min="13" max="13" width="5.140625" style="2" customWidth="1"/>
    <col min="14" max="14" width="5.28515625" style="2" customWidth="1"/>
    <col min="15" max="15" width="5.85546875" style="2" customWidth="1"/>
    <col min="16" max="16" width="31.140625" style="17" hidden="1" customWidth="1"/>
    <col min="17" max="17" width="5.5703125" style="17" customWidth="1"/>
    <col min="18" max="18" width="12.28515625" style="4" customWidth="1"/>
    <col min="19" max="19" width="5.42578125" style="2" customWidth="1"/>
    <col min="20" max="20" width="4.5703125" style="2" hidden="1" customWidth="1"/>
    <col min="21" max="21" width="4.140625" style="2" hidden="1" customWidth="1"/>
    <col min="22" max="22" width="4.5703125" style="2" hidden="1" customWidth="1"/>
    <col min="23" max="23" width="3.5703125" style="4" hidden="1" customWidth="1"/>
    <col min="24" max="25" width="3.5703125" style="2" hidden="1" customWidth="1"/>
    <col min="26" max="26" width="5.85546875" style="2" customWidth="1"/>
    <col min="27" max="27" width="18.85546875" style="4" hidden="1" customWidth="1"/>
    <col min="28" max="28" width="19.5703125" style="2" customWidth="1"/>
    <col min="29" max="29" width="12.42578125" style="15" bestFit="1" customWidth="1"/>
    <col min="30" max="16384" width="9.140625" style="15"/>
  </cols>
  <sheetData>
    <row r="1" spans="1:42" s="5" customFormat="1" ht="16.5" customHeight="1" x14ac:dyDescent="0.25">
      <c r="A1" s="223" t="s">
        <v>62</v>
      </c>
      <c r="B1" s="223"/>
      <c r="C1" s="223"/>
      <c r="D1" s="223"/>
      <c r="E1" s="223"/>
      <c r="F1" s="223"/>
      <c r="G1" s="7"/>
      <c r="H1" s="7"/>
      <c r="I1" s="131"/>
      <c r="J1" s="80"/>
      <c r="K1" s="222" t="s">
        <v>42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</row>
    <row r="2" spans="1:42" s="5" customFormat="1" ht="16.5" hidden="1" customHeight="1" x14ac:dyDescent="0.25">
      <c r="A2" s="222" t="s">
        <v>40</v>
      </c>
      <c r="B2" s="222"/>
      <c r="C2" s="222"/>
      <c r="D2" s="222"/>
      <c r="E2" s="222"/>
      <c r="F2" s="222"/>
      <c r="G2" s="6"/>
      <c r="H2" s="6"/>
      <c r="I2" s="131"/>
      <c r="J2" s="80"/>
      <c r="K2" s="222" t="s">
        <v>47</v>
      </c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</row>
    <row r="3" spans="1:42" s="5" customFormat="1" ht="16.5" hidden="1" customHeight="1" x14ac:dyDescent="0.25">
      <c r="A3" s="222" t="s">
        <v>41</v>
      </c>
      <c r="B3" s="222"/>
      <c r="C3" s="222"/>
      <c r="D3" s="222"/>
      <c r="E3" s="222"/>
      <c r="F3" s="222"/>
      <c r="G3" s="6"/>
      <c r="H3" s="6"/>
      <c r="I3" s="131"/>
      <c r="J3" s="33"/>
      <c r="K3" s="33"/>
      <c r="L3" s="7"/>
      <c r="M3" s="7"/>
      <c r="N3" s="7"/>
      <c r="O3" s="33"/>
      <c r="P3" s="16"/>
      <c r="Q3" s="16"/>
      <c r="R3" s="33"/>
      <c r="S3" s="7"/>
      <c r="T3" s="7"/>
      <c r="U3" s="7"/>
      <c r="V3" s="7"/>
      <c r="W3" s="9"/>
      <c r="X3" s="7"/>
      <c r="Y3" s="33"/>
      <c r="Z3" s="33"/>
      <c r="AA3" s="9"/>
      <c r="AB3" s="33"/>
    </row>
    <row r="4" spans="1:42" s="5" customFormat="1" ht="16.5" hidden="1" customHeight="1" x14ac:dyDescent="0.25">
      <c r="A4" s="223" t="s">
        <v>46</v>
      </c>
      <c r="B4" s="223"/>
      <c r="C4" s="223"/>
      <c r="D4" s="223"/>
      <c r="E4" s="223"/>
      <c r="F4" s="223"/>
      <c r="G4" s="7"/>
      <c r="H4" s="7"/>
      <c r="I4" s="131"/>
      <c r="J4" s="81"/>
      <c r="K4" s="224" t="s">
        <v>43</v>
      </c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</row>
    <row r="5" spans="1:42" ht="12.75" customHeight="1" x14ac:dyDescent="0.3">
      <c r="A5" s="80"/>
      <c r="B5" s="6"/>
      <c r="C5" s="6"/>
      <c r="D5" s="92"/>
      <c r="E5" s="31"/>
      <c r="I5" s="28"/>
    </row>
    <row r="6" spans="1:42" ht="15.75" x14ac:dyDescent="0.25">
      <c r="A6" s="222" t="s">
        <v>296</v>
      </c>
      <c r="B6" s="222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</row>
    <row r="7" spans="1:42" ht="12.75" customHeight="1" x14ac:dyDescent="0.3">
      <c r="K7" s="10"/>
      <c r="L7" s="74"/>
      <c r="M7" s="10"/>
      <c r="N7" s="10"/>
      <c r="R7" s="28"/>
      <c r="S7" s="15"/>
      <c r="V7" s="15"/>
      <c r="W7" s="18"/>
      <c r="X7" s="19"/>
      <c r="Y7" s="19"/>
      <c r="Z7" s="19"/>
      <c r="AA7" s="42"/>
      <c r="AB7" s="29"/>
    </row>
    <row r="8" spans="1:42" s="12" customFormat="1" ht="42.75" customHeight="1" x14ac:dyDescent="0.25">
      <c r="A8" s="75" t="s">
        <v>61</v>
      </c>
      <c r="B8" s="75" t="s">
        <v>3</v>
      </c>
      <c r="C8" s="75" t="s">
        <v>64</v>
      </c>
      <c r="D8" s="76" t="s">
        <v>56</v>
      </c>
      <c r="E8" s="76" t="s">
        <v>297</v>
      </c>
      <c r="F8" s="77" t="s">
        <v>298</v>
      </c>
      <c r="G8" s="78" t="s">
        <v>39</v>
      </c>
      <c r="H8" s="76" t="s">
        <v>35</v>
      </c>
      <c r="I8" s="75"/>
      <c r="J8" s="75" t="s">
        <v>37</v>
      </c>
      <c r="K8" s="75" t="s">
        <v>38</v>
      </c>
      <c r="L8" s="67" t="s">
        <v>71</v>
      </c>
      <c r="M8" s="67" t="s">
        <v>72</v>
      </c>
      <c r="N8" s="67" t="s">
        <v>73</v>
      </c>
      <c r="O8" s="75" t="s">
        <v>32</v>
      </c>
      <c r="P8" s="75" t="s">
        <v>55</v>
      </c>
      <c r="Q8" s="75" t="s">
        <v>68</v>
      </c>
      <c r="R8" s="76" t="s">
        <v>4</v>
      </c>
      <c r="S8" s="75" t="s">
        <v>70</v>
      </c>
      <c r="T8" s="71" t="s">
        <v>49</v>
      </c>
      <c r="U8" s="71" t="s">
        <v>50</v>
      </c>
      <c r="V8" s="71" t="s">
        <v>51</v>
      </c>
      <c r="W8" s="72"/>
      <c r="X8" s="73" t="s">
        <v>52</v>
      </c>
      <c r="Y8" s="73"/>
      <c r="Z8" s="79" t="s">
        <v>53</v>
      </c>
      <c r="AA8" s="70" t="s">
        <v>44</v>
      </c>
      <c r="AB8" s="76" t="s">
        <v>5</v>
      </c>
      <c r="AE8" s="75" t="s">
        <v>48</v>
      </c>
      <c r="AF8" s="75"/>
      <c r="AG8" s="75"/>
      <c r="AH8" s="75"/>
      <c r="AI8" s="75" t="s">
        <v>288</v>
      </c>
      <c r="AJ8" s="75" t="s">
        <v>289</v>
      </c>
      <c r="AK8" s="75"/>
      <c r="AL8" s="75"/>
      <c r="AM8" s="75" t="s">
        <v>48</v>
      </c>
      <c r="AN8" s="75"/>
      <c r="AO8" s="75"/>
      <c r="AP8" s="75"/>
    </row>
    <row r="9" spans="1:42" s="100" customFormat="1" ht="12" x14ac:dyDescent="0.2">
      <c r="A9" s="104">
        <f>SUBTOTAL(3,B9:$B$9)</f>
        <v>1</v>
      </c>
      <c r="B9" s="101" t="s">
        <v>6</v>
      </c>
      <c r="C9" s="101" t="s">
        <v>129</v>
      </c>
      <c r="D9" s="102" t="s">
        <v>149</v>
      </c>
      <c r="E9" s="115" t="s">
        <v>149</v>
      </c>
      <c r="F9" s="121" t="s">
        <v>155</v>
      </c>
      <c r="G9" s="101"/>
      <c r="H9" s="102" t="s">
        <v>129</v>
      </c>
      <c r="I9" s="116" t="s">
        <v>112</v>
      </c>
      <c r="J9" s="123">
        <v>75</v>
      </c>
      <c r="K9" s="123">
        <v>0</v>
      </c>
      <c r="L9" s="110" t="s">
        <v>74</v>
      </c>
      <c r="M9" s="117"/>
      <c r="N9" s="118"/>
      <c r="O9" s="104" t="s">
        <v>33</v>
      </c>
      <c r="P9" s="87"/>
      <c r="Q9" s="105">
        <v>18</v>
      </c>
      <c r="R9" s="102" t="s">
        <v>159</v>
      </c>
      <c r="S9" s="101"/>
      <c r="T9" s="82"/>
      <c r="U9" s="82"/>
      <c r="V9" s="82"/>
      <c r="W9" s="84"/>
      <c r="X9" s="82"/>
      <c r="Y9" s="82"/>
      <c r="Z9" s="101"/>
      <c r="AA9" s="84"/>
      <c r="AB9" s="101" t="s">
        <v>295</v>
      </c>
      <c r="AC9" s="101" t="s">
        <v>171</v>
      </c>
      <c r="AE9" s="116" t="s">
        <v>173</v>
      </c>
      <c r="AF9" s="119" t="str">
        <f t="shared" ref="AF9:AF14" si="0">MID(AE9,FIND("(",AE9)+1,1)</f>
        <v>3</v>
      </c>
      <c r="AG9" s="119" t="str">
        <f t="shared" ref="AG9:AG14" si="1">MID(AE9,FIND("(",AE9)+3,1)</f>
        <v>1</v>
      </c>
      <c r="AH9" s="119">
        <f>AF9*2+AG9</f>
        <v>7</v>
      </c>
      <c r="AI9" s="120">
        <f t="shared" ref="AI9:AI14" si="2">FIND(")",AE9)</f>
        <v>7</v>
      </c>
      <c r="AJ9" s="120">
        <f t="shared" ref="AJ9:AJ14" si="3">FIND(",)",AE9)</f>
        <v>6</v>
      </c>
      <c r="AK9" s="119" t="str">
        <f>LEFT(AE9,AJ9)</f>
        <v>4(3,1,</v>
      </c>
      <c r="AL9" s="119" t="str">
        <f>AK9&amp;AH9&amp;")"</f>
        <v>4(3,1,7)</v>
      </c>
      <c r="AM9" s="119" t="s">
        <v>173</v>
      </c>
      <c r="AN9" s="119" t="str">
        <f>IF(AL9="",AM9,AL9)</f>
        <v>4(3,1,7)</v>
      </c>
      <c r="AO9" s="119">
        <f t="shared" ref="AO9:AO40" si="4">FIND(AK9,AN9,1)</f>
        <v>1</v>
      </c>
      <c r="AP9" s="119">
        <f t="shared" ref="AP9:AP40" si="5">FIND(AH9&amp;")",AN9,1)</f>
        <v>7</v>
      </c>
    </row>
    <row r="10" spans="1:42" s="100" customFormat="1" ht="12" x14ac:dyDescent="0.2">
      <c r="A10" s="104">
        <f>SUBTOTAL(3,B$9:$B10)</f>
        <v>2</v>
      </c>
      <c r="B10" s="101" t="s">
        <v>6</v>
      </c>
      <c r="C10" s="101" t="s">
        <v>129</v>
      </c>
      <c r="D10" s="102" t="s">
        <v>149</v>
      </c>
      <c r="E10" s="115" t="s">
        <v>124</v>
      </c>
      <c r="F10" s="121" t="s">
        <v>125</v>
      </c>
      <c r="G10" s="101"/>
      <c r="H10" s="103" t="s">
        <v>129</v>
      </c>
      <c r="I10" s="116" t="s">
        <v>113</v>
      </c>
      <c r="J10" s="123">
        <v>75</v>
      </c>
      <c r="K10" s="123">
        <v>0</v>
      </c>
      <c r="L10" s="110" t="s">
        <v>74</v>
      </c>
      <c r="M10" s="117"/>
      <c r="N10" s="118"/>
      <c r="O10" s="104" t="s">
        <v>33</v>
      </c>
      <c r="P10" s="87"/>
      <c r="Q10" s="105"/>
      <c r="R10" s="102"/>
      <c r="S10" s="101"/>
      <c r="T10" s="82"/>
      <c r="U10" s="82"/>
      <c r="V10" s="82"/>
      <c r="W10" s="84"/>
      <c r="X10" s="82"/>
      <c r="Y10" s="82"/>
      <c r="Z10" s="101"/>
      <c r="AA10" s="84"/>
      <c r="AB10" s="101" t="s">
        <v>295</v>
      </c>
      <c r="AE10" s="116" t="s">
        <v>162</v>
      </c>
      <c r="AF10" s="119" t="str">
        <f t="shared" si="0"/>
        <v>1</v>
      </c>
      <c r="AG10" s="119" t="str">
        <f t="shared" si="1"/>
        <v>2</v>
      </c>
      <c r="AH10" s="119">
        <f t="shared" ref="AH10:AH42" si="6">AF10*2+AG10</f>
        <v>4</v>
      </c>
      <c r="AI10" s="120">
        <f t="shared" si="2"/>
        <v>7</v>
      </c>
      <c r="AJ10" s="120">
        <f t="shared" si="3"/>
        <v>6</v>
      </c>
      <c r="AK10" s="119" t="s">
        <v>290</v>
      </c>
      <c r="AL10" s="119" t="str">
        <f t="shared" ref="AL10:AL27" si="7">AK10&amp;AH10&amp;")"</f>
        <v>3(1,2,4)</v>
      </c>
      <c r="AM10" s="119" t="s">
        <v>162</v>
      </c>
      <c r="AN10" s="119" t="str">
        <f t="shared" ref="AN10:AN73" si="8">IF(AL10="",AM10,AL10)</f>
        <v>3(1,2,4)</v>
      </c>
      <c r="AO10" s="119">
        <f t="shared" si="4"/>
        <v>1</v>
      </c>
      <c r="AP10" s="119">
        <f t="shared" si="5"/>
        <v>7</v>
      </c>
    </row>
    <row r="11" spans="1:42" s="100" customFormat="1" ht="12" x14ac:dyDescent="0.2">
      <c r="A11" s="104">
        <f>SUBTOTAL(3,B$9:$B11)</f>
        <v>3</v>
      </c>
      <c r="B11" s="101" t="s">
        <v>6</v>
      </c>
      <c r="C11" s="101" t="s">
        <v>129</v>
      </c>
      <c r="D11" s="102" t="s">
        <v>149</v>
      </c>
      <c r="E11" s="115" t="s">
        <v>108</v>
      </c>
      <c r="F11" s="121" t="s">
        <v>156</v>
      </c>
      <c r="G11" s="101"/>
      <c r="H11" s="129" t="s">
        <v>36</v>
      </c>
      <c r="I11" s="116" t="s">
        <v>120</v>
      </c>
      <c r="J11" s="123">
        <v>60</v>
      </c>
      <c r="K11" s="123">
        <v>0</v>
      </c>
      <c r="L11" s="110" t="s">
        <v>74</v>
      </c>
      <c r="M11" s="117"/>
      <c r="N11" s="118"/>
      <c r="O11" s="104" t="s">
        <v>33</v>
      </c>
      <c r="P11" s="87"/>
      <c r="Q11" s="105"/>
      <c r="R11" s="102"/>
      <c r="S11" s="101"/>
      <c r="T11" s="82"/>
      <c r="U11" s="82"/>
      <c r="V11" s="82"/>
      <c r="W11" s="84"/>
      <c r="X11" s="82"/>
      <c r="Y11" s="82"/>
      <c r="Z11" s="101"/>
      <c r="AA11" s="84"/>
      <c r="AB11" s="101" t="s">
        <v>295</v>
      </c>
      <c r="AE11" s="116" t="s">
        <v>163</v>
      </c>
      <c r="AF11" s="119" t="str">
        <f t="shared" si="0"/>
        <v>0</v>
      </c>
      <c r="AG11" s="119" t="str">
        <f t="shared" si="1"/>
        <v>2</v>
      </c>
      <c r="AH11" s="119">
        <f t="shared" si="6"/>
        <v>2</v>
      </c>
      <c r="AI11" s="120">
        <f t="shared" si="2"/>
        <v>7</v>
      </c>
      <c r="AJ11" s="120">
        <f t="shared" si="3"/>
        <v>6</v>
      </c>
      <c r="AK11" s="119" t="str">
        <f>LEFT(AE11,AJ11)</f>
        <v>2(0,2,</v>
      </c>
      <c r="AL11" s="119" t="str">
        <f t="shared" si="7"/>
        <v>2(0,2,2)</v>
      </c>
      <c r="AM11" s="119" t="s">
        <v>163</v>
      </c>
      <c r="AN11" s="119" t="str">
        <f t="shared" si="8"/>
        <v>2(0,2,2)</v>
      </c>
      <c r="AO11" s="119">
        <f t="shared" si="4"/>
        <v>1</v>
      </c>
      <c r="AP11" s="119">
        <f t="shared" si="5"/>
        <v>7</v>
      </c>
    </row>
    <row r="12" spans="1:42" s="100" customFormat="1" ht="12" x14ac:dyDescent="0.2">
      <c r="A12" s="104">
        <f>SUBTOTAL(3,B$9:$B12)</f>
        <v>4</v>
      </c>
      <c r="B12" s="101" t="s">
        <v>6</v>
      </c>
      <c r="C12" s="101" t="s">
        <v>129</v>
      </c>
      <c r="D12" s="102" t="s">
        <v>149</v>
      </c>
      <c r="E12" s="115" t="s">
        <v>152</v>
      </c>
      <c r="F12" s="121" t="s">
        <v>153</v>
      </c>
      <c r="G12" s="101"/>
      <c r="H12" s="129" t="s">
        <v>123</v>
      </c>
      <c r="I12" s="116" t="s">
        <v>291</v>
      </c>
      <c r="J12" s="123">
        <v>75</v>
      </c>
      <c r="K12" s="123">
        <v>0</v>
      </c>
      <c r="L12" s="110" t="s">
        <v>74</v>
      </c>
      <c r="M12" s="117"/>
      <c r="N12" s="118"/>
      <c r="O12" s="104" t="s">
        <v>33</v>
      </c>
      <c r="P12" s="87"/>
      <c r="Q12" s="105"/>
      <c r="R12" s="102"/>
      <c r="S12" s="101"/>
      <c r="T12" s="82"/>
      <c r="U12" s="82"/>
      <c r="V12" s="82"/>
      <c r="W12" s="84"/>
      <c r="X12" s="82"/>
      <c r="Y12" s="82"/>
      <c r="Z12" s="101"/>
      <c r="AA12" s="84"/>
      <c r="AB12" s="101" t="s">
        <v>295</v>
      </c>
      <c r="AE12" s="116" t="s">
        <v>164</v>
      </c>
      <c r="AF12" s="119" t="str">
        <f t="shared" si="0"/>
        <v>5</v>
      </c>
      <c r="AG12" s="119" t="str">
        <f t="shared" si="1"/>
        <v>0</v>
      </c>
      <c r="AH12" s="119">
        <f t="shared" si="6"/>
        <v>10</v>
      </c>
      <c r="AI12" s="120">
        <f t="shared" si="2"/>
        <v>7</v>
      </c>
      <c r="AJ12" s="120">
        <f t="shared" si="3"/>
        <v>6</v>
      </c>
      <c r="AK12" s="119" t="str">
        <f>LEFT(AE12,AJ12)</f>
        <v>5(5,0,</v>
      </c>
      <c r="AL12" s="119" t="str">
        <f t="shared" si="7"/>
        <v>5(5,0,10)</v>
      </c>
      <c r="AM12" s="119" t="s">
        <v>164</v>
      </c>
      <c r="AN12" s="119" t="str">
        <f t="shared" si="8"/>
        <v>5(5,0,10)</v>
      </c>
      <c r="AO12" s="119">
        <f t="shared" si="4"/>
        <v>1</v>
      </c>
      <c r="AP12" s="119">
        <f t="shared" si="5"/>
        <v>7</v>
      </c>
    </row>
    <row r="13" spans="1:42" s="100" customFormat="1" ht="12" x14ac:dyDescent="0.2">
      <c r="A13" s="104">
        <f>SUBTOTAL(3,B$9:$B13)</f>
        <v>5</v>
      </c>
      <c r="B13" s="101" t="s">
        <v>6</v>
      </c>
      <c r="C13" s="101" t="s">
        <v>129</v>
      </c>
      <c r="D13" s="102" t="s">
        <v>149</v>
      </c>
      <c r="E13" s="115" t="s">
        <v>126</v>
      </c>
      <c r="F13" s="121" t="s">
        <v>127</v>
      </c>
      <c r="G13" s="101"/>
      <c r="H13" s="129" t="s">
        <v>123</v>
      </c>
      <c r="I13" s="116" t="s">
        <v>130</v>
      </c>
      <c r="J13" s="123">
        <v>30</v>
      </c>
      <c r="K13" s="123">
        <v>0</v>
      </c>
      <c r="L13" s="110" t="s">
        <v>74</v>
      </c>
      <c r="M13" s="117"/>
      <c r="N13" s="118"/>
      <c r="O13" s="104" t="s">
        <v>33</v>
      </c>
      <c r="P13" s="87"/>
      <c r="Q13" s="105"/>
      <c r="R13" s="102"/>
      <c r="S13" s="101"/>
      <c r="T13" s="82"/>
      <c r="U13" s="82"/>
      <c r="V13" s="82"/>
      <c r="W13" s="84"/>
      <c r="X13" s="82"/>
      <c r="Y13" s="82"/>
      <c r="Z13" s="101"/>
      <c r="AA13" s="84"/>
      <c r="AB13" s="101" t="s">
        <v>295</v>
      </c>
      <c r="AE13" s="116" t="s">
        <v>165</v>
      </c>
      <c r="AF13" s="119" t="str">
        <f t="shared" si="0"/>
        <v>2</v>
      </c>
      <c r="AG13" s="119" t="str">
        <f t="shared" si="1"/>
        <v>0</v>
      </c>
      <c r="AH13" s="119">
        <f t="shared" si="6"/>
        <v>4</v>
      </c>
      <c r="AI13" s="120">
        <f t="shared" si="2"/>
        <v>7</v>
      </c>
      <c r="AJ13" s="120">
        <f t="shared" si="3"/>
        <v>6</v>
      </c>
      <c r="AK13" s="119" t="str">
        <f>LEFT(AE13,AJ13)</f>
        <v>2(2,0,</v>
      </c>
      <c r="AL13" s="119" t="str">
        <f t="shared" si="7"/>
        <v>2(2,0,4)</v>
      </c>
      <c r="AM13" s="119" t="s">
        <v>165</v>
      </c>
      <c r="AN13" s="119" t="str">
        <f t="shared" si="8"/>
        <v>2(2,0,4)</v>
      </c>
      <c r="AO13" s="119">
        <f t="shared" si="4"/>
        <v>1</v>
      </c>
      <c r="AP13" s="119">
        <f t="shared" si="5"/>
        <v>7</v>
      </c>
    </row>
    <row r="14" spans="1:42" s="100" customFormat="1" ht="12" x14ac:dyDescent="0.2">
      <c r="A14" s="104">
        <f>SUBTOTAL(3,B$9:$B14)</f>
        <v>6</v>
      </c>
      <c r="B14" s="101" t="s">
        <v>6</v>
      </c>
      <c r="C14" s="101" t="s">
        <v>129</v>
      </c>
      <c r="D14" s="102" t="s">
        <v>149</v>
      </c>
      <c r="E14" s="115" t="s">
        <v>154</v>
      </c>
      <c r="F14" s="121" t="s">
        <v>122</v>
      </c>
      <c r="G14" s="101"/>
      <c r="H14" s="129" t="s">
        <v>123</v>
      </c>
      <c r="I14" s="116" t="s">
        <v>120</v>
      </c>
      <c r="J14" s="123">
        <v>60</v>
      </c>
      <c r="K14" s="123">
        <v>0</v>
      </c>
      <c r="L14" s="110" t="s">
        <v>74</v>
      </c>
      <c r="M14" s="117"/>
      <c r="N14" s="118"/>
      <c r="O14" s="104" t="s">
        <v>33</v>
      </c>
      <c r="P14" s="87"/>
      <c r="Q14" s="105"/>
      <c r="R14" s="102"/>
      <c r="S14" s="101"/>
      <c r="T14" s="82"/>
      <c r="U14" s="82"/>
      <c r="V14" s="82"/>
      <c r="W14" s="84"/>
      <c r="X14" s="82"/>
      <c r="Y14" s="82"/>
      <c r="Z14" s="101"/>
      <c r="AA14" s="84"/>
      <c r="AB14" s="101" t="s">
        <v>295</v>
      </c>
      <c r="AE14" s="116" t="s">
        <v>163</v>
      </c>
      <c r="AF14" s="119" t="str">
        <f t="shared" si="0"/>
        <v>0</v>
      </c>
      <c r="AG14" s="119" t="str">
        <f t="shared" si="1"/>
        <v>2</v>
      </c>
      <c r="AH14" s="119">
        <f t="shared" si="6"/>
        <v>2</v>
      </c>
      <c r="AI14" s="120">
        <f t="shared" si="2"/>
        <v>7</v>
      </c>
      <c r="AJ14" s="120">
        <f t="shared" si="3"/>
        <v>6</v>
      </c>
      <c r="AK14" s="119" t="str">
        <f>LEFT(AE14,AJ14)</f>
        <v>2(0,2,</v>
      </c>
      <c r="AL14" s="119" t="str">
        <f t="shared" si="7"/>
        <v>2(0,2,2)</v>
      </c>
      <c r="AM14" s="119" t="s">
        <v>163</v>
      </c>
      <c r="AN14" s="119" t="str">
        <f t="shared" si="8"/>
        <v>2(0,2,2)</v>
      </c>
      <c r="AO14" s="119">
        <f t="shared" si="4"/>
        <v>1</v>
      </c>
      <c r="AP14" s="119">
        <f t="shared" si="5"/>
        <v>7</v>
      </c>
    </row>
    <row r="15" spans="1:42" x14ac:dyDescent="0.2">
      <c r="A15" s="104">
        <f>SUBTOTAL(3,B$9:$B15)</f>
        <v>7</v>
      </c>
      <c r="B15" s="82" t="s">
        <v>6</v>
      </c>
      <c r="C15" s="82"/>
      <c r="D15" s="84"/>
      <c r="E15" s="89"/>
      <c r="F15" s="88"/>
      <c r="G15" s="85"/>
      <c r="H15" s="84"/>
      <c r="I15" s="90"/>
      <c r="J15" s="132"/>
      <c r="K15" s="132"/>
      <c r="L15" s="93"/>
      <c r="M15" s="93"/>
      <c r="N15" s="91"/>
      <c r="O15" s="98"/>
      <c r="P15" s="87"/>
      <c r="Q15" s="87"/>
      <c r="R15" s="84"/>
      <c r="S15" s="82"/>
      <c r="T15" s="82"/>
      <c r="U15" s="82"/>
      <c r="V15" s="82"/>
      <c r="W15" s="84"/>
      <c r="X15" s="82"/>
      <c r="Y15" s="82"/>
      <c r="Z15" s="82"/>
      <c r="AA15" s="84"/>
      <c r="AB15" s="101" t="s">
        <v>295</v>
      </c>
      <c r="AE15" s="90"/>
      <c r="AF15" s="90"/>
      <c r="AG15" s="90"/>
      <c r="AH15" s="90"/>
      <c r="AI15" s="99"/>
      <c r="AJ15" s="99"/>
      <c r="AK15" s="90"/>
      <c r="AL15" s="90"/>
      <c r="AM15" s="90"/>
      <c r="AN15" s="90">
        <f t="shared" si="8"/>
        <v>0</v>
      </c>
      <c r="AO15" s="90">
        <f t="shared" si="4"/>
        <v>1</v>
      </c>
      <c r="AP15" s="90" t="e">
        <f t="shared" si="5"/>
        <v>#VALUE!</v>
      </c>
    </row>
    <row r="16" spans="1:42" s="100" customFormat="1" ht="12" x14ac:dyDescent="0.2">
      <c r="A16" s="104">
        <f>SUBTOTAL(3,B$9:$B16)</f>
        <v>8</v>
      </c>
      <c r="B16" s="101" t="s">
        <v>6</v>
      </c>
      <c r="C16" s="101" t="s">
        <v>216</v>
      </c>
      <c r="D16" s="106" t="s">
        <v>136</v>
      </c>
      <c r="E16" s="115" t="s">
        <v>158</v>
      </c>
      <c r="F16" s="121" t="s">
        <v>157</v>
      </c>
      <c r="G16" s="101"/>
      <c r="H16" s="102" t="s">
        <v>129</v>
      </c>
      <c r="I16" s="116" t="s">
        <v>113</v>
      </c>
      <c r="J16" s="123">
        <v>75</v>
      </c>
      <c r="K16" s="123">
        <v>0</v>
      </c>
      <c r="L16" s="110" t="s">
        <v>74</v>
      </c>
      <c r="M16" s="117"/>
      <c r="N16" s="118"/>
      <c r="O16" s="104" t="s">
        <v>33</v>
      </c>
      <c r="P16" s="87"/>
      <c r="Q16" s="105">
        <v>18</v>
      </c>
      <c r="R16" s="102" t="s">
        <v>160</v>
      </c>
      <c r="S16" s="101"/>
      <c r="T16" s="82"/>
      <c r="U16" s="82"/>
      <c r="V16" s="82"/>
      <c r="W16" s="84"/>
      <c r="X16" s="82"/>
      <c r="Y16" s="82"/>
      <c r="Z16" s="101"/>
      <c r="AA16" s="84"/>
      <c r="AB16" s="102" t="s">
        <v>295</v>
      </c>
      <c r="AE16" s="116" t="s">
        <v>162</v>
      </c>
      <c r="AF16" s="119" t="str">
        <f t="shared" ref="AF16:AF21" si="9">MID(AE16,FIND("(",AE16)+1,1)</f>
        <v>1</v>
      </c>
      <c r="AG16" s="119" t="str">
        <f t="shared" ref="AG16:AG21" si="10">MID(AE16,FIND("(",AE16)+3,1)</f>
        <v>2</v>
      </c>
      <c r="AH16" s="119">
        <f t="shared" si="6"/>
        <v>4</v>
      </c>
      <c r="AI16" s="120">
        <f t="shared" ref="AI16:AI21" si="11">FIND(")",AE16)</f>
        <v>7</v>
      </c>
      <c r="AJ16" s="120">
        <f t="shared" ref="AJ16:AJ21" si="12">FIND(",)",AE16)</f>
        <v>6</v>
      </c>
      <c r="AK16" s="119" t="str">
        <f t="shared" ref="AK16:AK21" si="13">LEFT(AE16,AJ16)</f>
        <v>3(1,2,</v>
      </c>
      <c r="AL16" s="119" t="str">
        <f t="shared" si="7"/>
        <v>3(1,2,4)</v>
      </c>
      <c r="AM16" s="119" t="s">
        <v>162</v>
      </c>
      <c r="AN16" s="119" t="str">
        <f t="shared" si="8"/>
        <v>3(1,2,4)</v>
      </c>
      <c r="AO16" s="119">
        <f t="shared" si="4"/>
        <v>1</v>
      </c>
      <c r="AP16" s="119">
        <f t="shared" si="5"/>
        <v>7</v>
      </c>
    </row>
    <row r="17" spans="1:42" s="100" customFormat="1" ht="12" x14ac:dyDescent="0.2">
      <c r="A17" s="104">
        <f>SUBTOTAL(3,B$9:$B17)</f>
        <v>9</v>
      </c>
      <c r="B17" s="101" t="s">
        <v>6</v>
      </c>
      <c r="C17" s="101" t="s">
        <v>216</v>
      </c>
      <c r="D17" s="106" t="s">
        <v>136</v>
      </c>
      <c r="E17" s="115" t="s">
        <v>124</v>
      </c>
      <c r="F17" s="121" t="s">
        <v>125</v>
      </c>
      <c r="G17" s="101"/>
      <c r="H17" s="103" t="s">
        <v>129</v>
      </c>
      <c r="I17" s="116" t="s">
        <v>113</v>
      </c>
      <c r="J17" s="123">
        <v>75</v>
      </c>
      <c r="K17" s="123">
        <v>0</v>
      </c>
      <c r="L17" s="110" t="s">
        <v>74</v>
      </c>
      <c r="M17" s="117"/>
      <c r="N17" s="118"/>
      <c r="O17" s="104" t="s">
        <v>33</v>
      </c>
      <c r="P17" s="87"/>
      <c r="Q17" s="105"/>
      <c r="R17" s="102"/>
      <c r="S17" s="101"/>
      <c r="T17" s="82"/>
      <c r="U17" s="82"/>
      <c r="V17" s="82"/>
      <c r="W17" s="84"/>
      <c r="X17" s="82"/>
      <c r="Y17" s="82"/>
      <c r="Z17" s="101"/>
      <c r="AA17" s="84"/>
      <c r="AB17" s="101" t="s">
        <v>295</v>
      </c>
      <c r="AE17" s="116" t="s">
        <v>162</v>
      </c>
      <c r="AF17" s="119" t="str">
        <f t="shared" si="9"/>
        <v>1</v>
      </c>
      <c r="AG17" s="119" t="str">
        <f t="shared" si="10"/>
        <v>2</v>
      </c>
      <c r="AH17" s="119">
        <f t="shared" si="6"/>
        <v>4</v>
      </c>
      <c r="AI17" s="120">
        <f t="shared" si="11"/>
        <v>7</v>
      </c>
      <c r="AJ17" s="120">
        <f t="shared" si="12"/>
        <v>6</v>
      </c>
      <c r="AK17" s="119" t="str">
        <f t="shared" si="13"/>
        <v>3(1,2,</v>
      </c>
      <c r="AL17" s="119" t="str">
        <f t="shared" si="7"/>
        <v>3(1,2,4)</v>
      </c>
      <c r="AM17" s="119" t="s">
        <v>162</v>
      </c>
      <c r="AN17" s="119" t="str">
        <f t="shared" si="8"/>
        <v>3(1,2,4)</v>
      </c>
      <c r="AO17" s="119">
        <f t="shared" si="4"/>
        <v>1</v>
      </c>
      <c r="AP17" s="119">
        <f t="shared" si="5"/>
        <v>7</v>
      </c>
    </row>
    <row r="18" spans="1:42" s="100" customFormat="1" ht="12" x14ac:dyDescent="0.2">
      <c r="A18" s="104">
        <f>SUBTOTAL(3,B$9:$B18)</f>
        <v>10</v>
      </c>
      <c r="B18" s="101" t="s">
        <v>6</v>
      </c>
      <c r="C18" s="101" t="s">
        <v>216</v>
      </c>
      <c r="D18" s="106" t="s">
        <v>136</v>
      </c>
      <c r="E18" s="115" t="s">
        <v>108</v>
      </c>
      <c r="F18" s="121" t="s">
        <v>156</v>
      </c>
      <c r="G18" s="101"/>
      <c r="H18" s="129" t="s">
        <v>36</v>
      </c>
      <c r="I18" s="116" t="s">
        <v>120</v>
      </c>
      <c r="J18" s="123">
        <v>60</v>
      </c>
      <c r="K18" s="123">
        <v>0</v>
      </c>
      <c r="L18" s="110" t="s">
        <v>74</v>
      </c>
      <c r="M18" s="117"/>
      <c r="N18" s="118"/>
      <c r="O18" s="104" t="s">
        <v>33</v>
      </c>
      <c r="P18" s="87"/>
      <c r="Q18" s="105"/>
      <c r="R18" s="102"/>
      <c r="S18" s="101"/>
      <c r="T18" s="82"/>
      <c r="U18" s="82"/>
      <c r="V18" s="82"/>
      <c r="W18" s="84"/>
      <c r="X18" s="82"/>
      <c r="Y18" s="82"/>
      <c r="Z18" s="101"/>
      <c r="AA18" s="84"/>
      <c r="AB18" s="101" t="s">
        <v>295</v>
      </c>
      <c r="AE18" s="116" t="s">
        <v>163</v>
      </c>
      <c r="AF18" s="119" t="str">
        <f t="shared" si="9"/>
        <v>0</v>
      </c>
      <c r="AG18" s="119" t="str">
        <f t="shared" si="10"/>
        <v>2</v>
      </c>
      <c r="AH18" s="119">
        <f t="shared" si="6"/>
        <v>2</v>
      </c>
      <c r="AI18" s="120">
        <f t="shared" si="11"/>
        <v>7</v>
      </c>
      <c r="AJ18" s="120">
        <f t="shared" si="12"/>
        <v>6</v>
      </c>
      <c r="AK18" s="119" t="str">
        <f t="shared" si="13"/>
        <v>2(0,2,</v>
      </c>
      <c r="AL18" s="119" t="str">
        <f t="shared" si="7"/>
        <v>2(0,2,2)</v>
      </c>
      <c r="AM18" s="119" t="s">
        <v>163</v>
      </c>
      <c r="AN18" s="119" t="str">
        <f t="shared" si="8"/>
        <v>2(0,2,2)</v>
      </c>
      <c r="AO18" s="119">
        <f t="shared" si="4"/>
        <v>1</v>
      </c>
      <c r="AP18" s="119">
        <f t="shared" si="5"/>
        <v>7</v>
      </c>
    </row>
    <row r="19" spans="1:42" s="100" customFormat="1" ht="12" x14ac:dyDescent="0.2">
      <c r="A19" s="104">
        <f>SUBTOTAL(3,B$9:$B19)</f>
        <v>11</v>
      </c>
      <c r="B19" s="101" t="s">
        <v>6</v>
      </c>
      <c r="C19" s="101" t="s">
        <v>216</v>
      </c>
      <c r="D19" s="106" t="s">
        <v>136</v>
      </c>
      <c r="E19" s="115" t="s">
        <v>152</v>
      </c>
      <c r="F19" s="121" t="s">
        <v>153</v>
      </c>
      <c r="G19" s="101"/>
      <c r="H19" s="129" t="s">
        <v>123</v>
      </c>
      <c r="I19" s="116" t="s">
        <v>291</v>
      </c>
      <c r="J19" s="123">
        <v>75</v>
      </c>
      <c r="K19" s="123">
        <v>0</v>
      </c>
      <c r="L19" s="110" t="s">
        <v>74</v>
      </c>
      <c r="M19" s="117"/>
      <c r="N19" s="118"/>
      <c r="O19" s="104" t="s">
        <v>33</v>
      </c>
      <c r="P19" s="87"/>
      <c r="Q19" s="105"/>
      <c r="R19" s="102"/>
      <c r="S19" s="101"/>
      <c r="T19" s="82"/>
      <c r="U19" s="82"/>
      <c r="V19" s="82"/>
      <c r="W19" s="84"/>
      <c r="X19" s="82"/>
      <c r="Y19" s="82"/>
      <c r="Z19" s="101"/>
      <c r="AA19" s="84"/>
      <c r="AB19" s="101" t="s">
        <v>295</v>
      </c>
      <c r="AE19" s="116" t="s">
        <v>164</v>
      </c>
      <c r="AF19" s="119" t="str">
        <f t="shared" si="9"/>
        <v>5</v>
      </c>
      <c r="AG19" s="119" t="str">
        <f t="shared" si="10"/>
        <v>0</v>
      </c>
      <c r="AH19" s="119">
        <f t="shared" si="6"/>
        <v>10</v>
      </c>
      <c r="AI19" s="120">
        <f t="shared" si="11"/>
        <v>7</v>
      </c>
      <c r="AJ19" s="120">
        <f t="shared" si="12"/>
        <v>6</v>
      </c>
      <c r="AK19" s="119" t="str">
        <f t="shared" si="13"/>
        <v>5(5,0,</v>
      </c>
      <c r="AL19" s="119" t="str">
        <f t="shared" si="7"/>
        <v>5(5,0,10)</v>
      </c>
      <c r="AM19" s="119" t="s">
        <v>164</v>
      </c>
      <c r="AN19" s="119" t="str">
        <f t="shared" si="8"/>
        <v>5(5,0,10)</v>
      </c>
      <c r="AO19" s="119">
        <f t="shared" si="4"/>
        <v>1</v>
      </c>
      <c r="AP19" s="119">
        <f t="shared" si="5"/>
        <v>7</v>
      </c>
    </row>
    <row r="20" spans="1:42" s="100" customFormat="1" ht="12" x14ac:dyDescent="0.2">
      <c r="A20" s="104">
        <f>SUBTOTAL(3,B$9:$B20)</f>
        <v>12</v>
      </c>
      <c r="B20" s="101" t="s">
        <v>6</v>
      </c>
      <c r="C20" s="101" t="s">
        <v>216</v>
      </c>
      <c r="D20" s="106" t="s">
        <v>136</v>
      </c>
      <c r="E20" s="115" t="s">
        <v>126</v>
      </c>
      <c r="F20" s="121" t="s">
        <v>127</v>
      </c>
      <c r="G20" s="101"/>
      <c r="H20" s="129" t="s">
        <v>123</v>
      </c>
      <c r="I20" s="116" t="s">
        <v>130</v>
      </c>
      <c r="J20" s="123">
        <v>30</v>
      </c>
      <c r="K20" s="123">
        <v>0</v>
      </c>
      <c r="L20" s="110" t="s">
        <v>74</v>
      </c>
      <c r="M20" s="117"/>
      <c r="N20" s="118"/>
      <c r="O20" s="104" t="s">
        <v>33</v>
      </c>
      <c r="P20" s="87"/>
      <c r="Q20" s="105"/>
      <c r="R20" s="102"/>
      <c r="S20" s="101"/>
      <c r="T20" s="82"/>
      <c r="U20" s="82"/>
      <c r="V20" s="82"/>
      <c r="W20" s="84"/>
      <c r="X20" s="82"/>
      <c r="Y20" s="82"/>
      <c r="Z20" s="101"/>
      <c r="AA20" s="84"/>
      <c r="AB20" s="101" t="s">
        <v>295</v>
      </c>
      <c r="AE20" s="116" t="s">
        <v>165</v>
      </c>
      <c r="AF20" s="119" t="str">
        <f t="shared" si="9"/>
        <v>2</v>
      </c>
      <c r="AG20" s="119" t="str">
        <f t="shared" si="10"/>
        <v>0</v>
      </c>
      <c r="AH20" s="119">
        <f t="shared" si="6"/>
        <v>4</v>
      </c>
      <c r="AI20" s="120">
        <f t="shared" si="11"/>
        <v>7</v>
      </c>
      <c r="AJ20" s="120">
        <f t="shared" si="12"/>
        <v>6</v>
      </c>
      <c r="AK20" s="119" t="str">
        <f t="shared" si="13"/>
        <v>2(2,0,</v>
      </c>
      <c r="AL20" s="119" t="str">
        <f t="shared" si="7"/>
        <v>2(2,0,4)</v>
      </c>
      <c r="AM20" s="119" t="s">
        <v>165</v>
      </c>
      <c r="AN20" s="119" t="str">
        <f t="shared" si="8"/>
        <v>2(2,0,4)</v>
      </c>
      <c r="AO20" s="119">
        <f t="shared" si="4"/>
        <v>1</v>
      </c>
      <c r="AP20" s="119">
        <f t="shared" si="5"/>
        <v>7</v>
      </c>
    </row>
    <row r="21" spans="1:42" s="100" customFormat="1" ht="12" x14ac:dyDescent="0.2">
      <c r="A21" s="104">
        <f>SUBTOTAL(3,B$9:$B21)</f>
        <v>13</v>
      </c>
      <c r="B21" s="101" t="s">
        <v>6</v>
      </c>
      <c r="C21" s="101" t="s">
        <v>216</v>
      </c>
      <c r="D21" s="106" t="s">
        <v>136</v>
      </c>
      <c r="E21" s="115" t="s">
        <v>154</v>
      </c>
      <c r="F21" s="121" t="s">
        <v>122</v>
      </c>
      <c r="G21" s="101"/>
      <c r="H21" s="129" t="s">
        <v>123</v>
      </c>
      <c r="I21" s="116" t="s">
        <v>120</v>
      </c>
      <c r="J21" s="123">
        <v>60</v>
      </c>
      <c r="K21" s="123">
        <v>0</v>
      </c>
      <c r="L21" s="110" t="s">
        <v>74</v>
      </c>
      <c r="M21" s="117"/>
      <c r="N21" s="118"/>
      <c r="O21" s="104" t="s">
        <v>33</v>
      </c>
      <c r="P21" s="87"/>
      <c r="Q21" s="105"/>
      <c r="R21" s="102"/>
      <c r="S21" s="101"/>
      <c r="T21" s="82"/>
      <c r="U21" s="82"/>
      <c r="V21" s="82"/>
      <c r="W21" s="84"/>
      <c r="X21" s="82"/>
      <c r="Y21" s="82"/>
      <c r="Z21" s="101"/>
      <c r="AA21" s="84"/>
      <c r="AB21" s="101" t="s">
        <v>295</v>
      </c>
      <c r="AE21" s="116" t="s">
        <v>163</v>
      </c>
      <c r="AF21" s="119" t="str">
        <f t="shared" si="9"/>
        <v>0</v>
      </c>
      <c r="AG21" s="119" t="str">
        <f t="shared" si="10"/>
        <v>2</v>
      </c>
      <c r="AH21" s="119">
        <f t="shared" si="6"/>
        <v>2</v>
      </c>
      <c r="AI21" s="120">
        <f t="shared" si="11"/>
        <v>7</v>
      </c>
      <c r="AJ21" s="120">
        <f t="shared" si="12"/>
        <v>6</v>
      </c>
      <c r="AK21" s="119" t="str">
        <f t="shared" si="13"/>
        <v>2(0,2,</v>
      </c>
      <c r="AL21" s="119" t="str">
        <f t="shared" si="7"/>
        <v>2(0,2,2)</v>
      </c>
      <c r="AM21" s="119" t="s">
        <v>163</v>
      </c>
      <c r="AN21" s="119" t="str">
        <f t="shared" si="8"/>
        <v>2(0,2,2)</v>
      </c>
      <c r="AO21" s="119">
        <f t="shared" si="4"/>
        <v>1</v>
      </c>
      <c r="AP21" s="119">
        <f t="shared" si="5"/>
        <v>7</v>
      </c>
    </row>
    <row r="22" spans="1:42" x14ac:dyDescent="0.2">
      <c r="A22" s="104">
        <f>SUBTOTAL(3,B$9:$B22)</f>
        <v>14</v>
      </c>
      <c r="B22" s="82" t="s">
        <v>6</v>
      </c>
      <c r="C22" s="82"/>
      <c r="D22" s="84"/>
      <c r="E22" s="86"/>
      <c r="F22" s="83"/>
      <c r="G22" s="85"/>
      <c r="H22" s="84"/>
      <c r="I22" s="82"/>
      <c r="J22" s="82"/>
      <c r="K22" s="82"/>
      <c r="L22" s="82"/>
      <c r="M22" s="82"/>
      <c r="N22" s="82"/>
      <c r="O22" s="82"/>
      <c r="P22" s="87"/>
      <c r="Q22" s="87"/>
      <c r="R22" s="84"/>
      <c r="S22" s="82"/>
      <c r="T22" s="82"/>
      <c r="U22" s="82"/>
      <c r="V22" s="82"/>
      <c r="W22" s="84"/>
      <c r="X22" s="82"/>
      <c r="Y22" s="82"/>
      <c r="Z22" s="82"/>
      <c r="AA22" s="84"/>
      <c r="AB22" s="101" t="s">
        <v>295</v>
      </c>
      <c r="AE22" s="82"/>
      <c r="AF22" s="90"/>
      <c r="AG22" s="90"/>
      <c r="AH22" s="90"/>
      <c r="AI22" s="99"/>
      <c r="AJ22" s="99"/>
      <c r="AK22" s="90"/>
      <c r="AL22" s="90"/>
      <c r="AM22" s="82"/>
      <c r="AN22" s="90">
        <f t="shared" si="8"/>
        <v>0</v>
      </c>
      <c r="AO22" s="90">
        <f t="shared" si="4"/>
        <v>1</v>
      </c>
      <c r="AP22" s="90" t="e">
        <f t="shared" si="5"/>
        <v>#VALUE!</v>
      </c>
    </row>
    <row r="23" spans="1:42" s="100" customFormat="1" ht="12" x14ac:dyDescent="0.2">
      <c r="A23" s="104">
        <f>SUBTOTAL(3,B$9:$B23)</f>
        <v>15</v>
      </c>
      <c r="B23" s="101" t="s">
        <v>6</v>
      </c>
      <c r="C23" s="101" t="s">
        <v>166</v>
      </c>
      <c r="D23" s="106" t="s">
        <v>166</v>
      </c>
      <c r="E23" s="115" t="s">
        <v>167</v>
      </c>
      <c r="F23" s="121" t="s">
        <v>161</v>
      </c>
      <c r="G23" s="121"/>
      <c r="H23" s="102" t="s">
        <v>129</v>
      </c>
      <c r="I23" s="116" t="s">
        <v>113</v>
      </c>
      <c r="J23" s="123">
        <v>75</v>
      </c>
      <c r="K23" s="101">
        <v>0</v>
      </c>
      <c r="L23" s="124" t="s">
        <v>74</v>
      </c>
      <c r="M23" s="118"/>
      <c r="N23" s="107"/>
      <c r="O23" s="101" t="s">
        <v>33</v>
      </c>
      <c r="P23" s="87"/>
      <c r="Q23" s="105">
        <v>18</v>
      </c>
      <c r="R23" s="102" t="s">
        <v>169</v>
      </c>
      <c r="S23" s="101"/>
      <c r="T23" s="82"/>
      <c r="U23" s="82"/>
      <c r="V23" s="82"/>
      <c r="W23" s="84"/>
      <c r="X23" s="82"/>
      <c r="Y23" s="82"/>
      <c r="Z23" s="101"/>
      <c r="AA23" s="84"/>
      <c r="AB23" s="102" t="s">
        <v>295</v>
      </c>
      <c r="AE23" s="116" t="s">
        <v>162</v>
      </c>
      <c r="AF23" s="119" t="str">
        <f t="shared" ref="AF23:AF28" si="14">MID(AE23,FIND("(",AE23)+1,1)</f>
        <v>1</v>
      </c>
      <c r="AG23" s="119" t="str">
        <f t="shared" ref="AG23:AG28" si="15">MID(AE23,FIND("(",AE23)+3,1)</f>
        <v>2</v>
      </c>
      <c r="AH23" s="119">
        <f t="shared" si="6"/>
        <v>4</v>
      </c>
      <c r="AI23" s="120">
        <f t="shared" ref="AI23:AI28" si="16">FIND(")",AE23)</f>
        <v>7</v>
      </c>
      <c r="AJ23" s="120">
        <f t="shared" ref="AJ23:AJ28" si="17">FIND(",)",AE23)</f>
        <v>6</v>
      </c>
      <c r="AK23" s="119" t="str">
        <f t="shared" ref="AK23:AK28" si="18">LEFT(AE23,AJ23)</f>
        <v>3(1,2,</v>
      </c>
      <c r="AL23" s="119" t="str">
        <f t="shared" si="7"/>
        <v>3(1,2,4)</v>
      </c>
      <c r="AM23" s="119" t="s">
        <v>162</v>
      </c>
      <c r="AN23" s="119" t="str">
        <f t="shared" si="8"/>
        <v>3(1,2,4)</v>
      </c>
      <c r="AO23" s="119">
        <f t="shared" si="4"/>
        <v>1</v>
      </c>
      <c r="AP23" s="119">
        <f t="shared" si="5"/>
        <v>7</v>
      </c>
    </row>
    <row r="24" spans="1:42" s="100" customFormat="1" ht="12" x14ac:dyDescent="0.2">
      <c r="A24" s="104">
        <f>SUBTOTAL(3,B$9:$B24)</f>
        <v>16</v>
      </c>
      <c r="B24" s="101" t="s">
        <v>6</v>
      </c>
      <c r="C24" s="101" t="s">
        <v>166</v>
      </c>
      <c r="D24" s="106" t="s">
        <v>166</v>
      </c>
      <c r="E24" s="115" t="s">
        <v>124</v>
      </c>
      <c r="F24" s="121" t="s">
        <v>125</v>
      </c>
      <c r="G24" s="121"/>
      <c r="H24" s="108" t="s">
        <v>129</v>
      </c>
      <c r="I24" s="116" t="s">
        <v>113</v>
      </c>
      <c r="J24" s="123">
        <v>75</v>
      </c>
      <c r="K24" s="101">
        <v>0</v>
      </c>
      <c r="L24" s="124" t="s">
        <v>74</v>
      </c>
      <c r="M24" s="118"/>
      <c r="N24" s="107"/>
      <c r="O24" s="101" t="s">
        <v>33</v>
      </c>
      <c r="P24" s="87"/>
      <c r="Q24" s="105"/>
      <c r="R24" s="102"/>
      <c r="S24" s="101"/>
      <c r="T24" s="82"/>
      <c r="U24" s="82"/>
      <c r="V24" s="82"/>
      <c r="W24" s="84"/>
      <c r="X24" s="82"/>
      <c r="Y24" s="82"/>
      <c r="Z24" s="101"/>
      <c r="AA24" s="84"/>
      <c r="AB24" s="101" t="s">
        <v>295</v>
      </c>
      <c r="AE24" s="116" t="s">
        <v>162</v>
      </c>
      <c r="AF24" s="119" t="str">
        <f t="shared" si="14"/>
        <v>1</v>
      </c>
      <c r="AG24" s="119" t="str">
        <f t="shared" si="15"/>
        <v>2</v>
      </c>
      <c r="AH24" s="119">
        <f t="shared" si="6"/>
        <v>4</v>
      </c>
      <c r="AI24" s="120">
        <f t="shared" si="16"/>
        <v>7</v>
      </c>
      <c r="AJ24" s="120">
        <f t="shared" si="17"/>
        <v>6</v>
      </c>
      <c r="AK24" s="119" t="str">
        <f t="shared" si="18"/>
        <v>3(1,2,</v>
      </c>
      <c r="AL24" s="119" t="str">
        <f t="shared" si="7"/>
        <v>3(1,2,4)</v>
      </c>
      <c r="AM24" s="119" t="s">
        <v>162</v>
      </c>
      <c r="AN24" s="119" t="str">
        <f t="shared" si="8"/>
        <v>3(1,2,4)</v>
      </c>
      <c r="AO24" s="119">
        <f t="shared" si="4"/>
        <v>1</v>
      </c>
      <c r="AP24" s="119">
        <f t="shared" si="5"/>
        <v>7</v>
      </c>
    </row>
    <row r="25" spans="1:42" s="100" customFormat="1" ht="12" x14ac:dyDescent="0.2">
      <c r="A25" s="104">
        <f>SUBTOTAL(3,B$9:$B25)</f>
        <v>17</v>
      </c>
      <c r="B25" s="101" t="s">
        <v>6</v>
      </c>
      <c r="C25" s="101" t="s">
        <v>166</v>
      </c>
      <c r="D25" s="106" t="s">
        <v>166</v>
      </c>
      <c r="E25" s="115" t="s">
        <v>108</v>
      </c>
      <c r="F25" s="121" t="s">
        <v>156</v>
      </c>
      <c r="G25" s="121"/>
      <c r="H25" s="130" t="s">
        <v>36</v>
      </c>
      <c r="I25" s="116" t="s">
        <v>120</v>
      </c>
      <c r="J25" s="123">
        <v>60</v>
      </c>
      <c r="K25" s="101">
        <v>0</v>
      </c>
      <c r="L25" s="124" t="s">
        <v>74</v>
      </c>
      <c r="M25" s="118"/>
      <c r="N25" s="107"/>
      <c r="O25" s="101" t="s">
        <v>33</v>
      </c>
      <c r="P25" s="87"/>
      <c r="Q25" s="105"/>
      <c r="R25" s="102"/>
      <c r="S25" s="101"/>
      <c r="T25" s="82"/>
      <c r="U25" s="82"/>
      <c r="V25" s="82"/>
      <c r="W25" s="84"/>
      <c r="X25" s="82"/>
      <c r="Y25" s="82"/>
      <c r="Z25" s="101"/>
      <c r="AA25" s="84"/>
      <c r="AB25" s="101" t="s">
        <v>295</v>
      </c>
      <c r="AE25" s="116" t="s">
        <v>163</v>
      </c>
      <c r="AF25" s="119" t="str">
        <f t="shared" si="14"/>
        <v>0</v>
      </c>
      <c r="AG25" s="119" t="str">
        <f t="shared" si="15"/>
        <v>2</v>
      </c>
      <c r="AH25" s="119">
        <f t="shared" si="6"/>
        <v>2</v>
      </c>
      <c r="AI25" s="120">
        <f t="shared" si="16"/>
        <v>7</v>
      </c>
      <c r="AJ25" s="120">
        <f t="shared" si="17"/>
        <v>6</v>
      </c>
      <c r="AK25" s="119" t="str">
        <f t="shared" si="18"/>
        <v>2(0,2,</v>
      </c>
      <c r="AL25" s="119" t="str">
        <f t="shared" si="7"/>
        <v>2(0,2,2)</v>
      </c>
      <c r="AM25" s="119" t="s">
        <v>163</v>
      </c>
      <c r="AN25" s="119" t="str">
        <f t="shared" si="8"/>
        <v>2(0,2,2)</v>
      </c>
      <c r="AO25" s="119">
        <f t="shared" si="4"/>
        <v>1</v>
      </c>
      <c r="AP25" s="119">
        <f t="shared" si="5"/>
        <v>7</v>
      </c>
    </row>
    <row r="26" spans="1:42" s="100" customFormat="1" ht="12" x14ac:dyDescent="0.2">
      <c r="A26" s="104">
        <f>SUBTOTAL(3,B$9:$B26)</f>
        <v>18</v>
      </c>
      <c r="B26" s="101" t="s">
        <v>6</v>
      </c>
      <c r="C26" s="101" t="s">
        <v>166</v>
      </c>
      <c r="D26" s="106" t="s">
        <v>166</v>
      </c>
      <c r="E26" s="115" t="s">
        <v>152</v>
      </c>
      <c r="F26" s="121" t="s">
        <v>153</v>
      </c>
      <c r="G26" s="121"/>
      <c r="H26" s="130" t="s">
        <v>123</v>
      </c>
      <c r="I26" s="116" t="s">
        <v>291</v>
      </c>
      <c r="J26" s="123">
        <v>75</v>
      </c>
      <c r="K26" s="101">
        <v>0</v>
      </c>
      <c r="L26" s="124" t="s">
        <v>74</v>
      </c>
      <c r="M26" s="118"/>
      <c r="N26" s="107"/>
      <c r="O26" s="101" t="s">
        <v>33</v>
      </c>
      <c r="P26" s="87"/>
      <c r="Q26" s="105"/>
      <c r="R26" s="102"/>
      <c r="S26" s="101"/>
      <c r="T26" s="82"/>
      <c r="U26" s="82"/>
      <c r="V26" s="82"/>
      <c r="W26" s="84"/>
      <c r="X26" s="82"/>
      <c r="Y26" s="82"/>
      <c r="Z26" s="101"/>
      <c r="AA26" s="84"/>
      <c r="AB26" s="101" t="s">
        <v>295</v>
      </c>
      <c r="AE26" s="116" t="s">
        <v>164</v>
      </c>
      <c r="AF26" s="119" t="str">
        <f t="shared" si="14"/>
        <v>5</v>
      </c>
      <c r="AG26" s="119" t="str">
        <f t="shared" si="15"/>
        <v>0</v>
      </c>
      <c r="AH26" s="119">
        <f t="shared" si="6"/>
        <v>10</v>
      </c>
      <c r="AI26" s="120">
        <f t="shared" si="16"/>
        <v>7</v>
      </c>
      <c r="AJ26" s="120">
        <f t="shared" si="17"/>
        <v>6</v>
      </c>
      <c r="AK26" s="119" t="str">
        <f t="shared" si="18"/>
        <v>5(5,0,</v>
      </c>
      <c r="AL26" s="119" t="str">
        <f t="shared" si="7"/>
        <v>5(5,0,10)</v>
      </c>
      <c r="AM26" s="119" t="s">
        <v>164</v>
      </c>
      <c r="AN26" s="119" t="str">
        <f t="shared" si="8"/>
        <v>5(5,0,10)</v>
      </c>
      <c r="AO26" s="119">
        <f t="shared" si="4"/>
        <v>1</v>
      </c>
      <c r="AP26" s="119">
        <f t="shared" si="5"/>
        <v>7</v>
      </c>
    </row>
    <row r="27" spans="1:42" s="100" customFormat="1" ht="12" x14ac:dyDescent="0.2">
      <c r="A27" s="104">
        <f>SUBTOTAL(3,B$9:$B27)</f>
        <v>19</v>
      </c>
      <c r="B27" s="101" t="s">
        <v>6</v>
      </c>
      <c r="C27" s="101" t="s">
        <v>166</v>
      </c>
      <c r="D27" s="106" t="s">
        <v>166</v>
      </c>
      <c r="E27" s="115" t="s">
        <v>126</v>
      </c>
      <c r="F27" s="121" t="s">
        <v>127</v>
      </c>
      <c r="G27" s="121"/>
      <c r="H27" s="130" t="s">
        <v>123</v>
      </c>
      <c r="I27" s="116" t="s">
        <v>130</v>
      </c>
      <c r="J27" s="123">
        <v>30</v>
      </c>
      <c r="K27" s="101">
        <v>0</v>
      </c>
      <c r="L27" s="124" t="s">
        <v>74</v>
      </c>
      <c r="M27" s="118"/>
      <c r="N27" s="107"/>
      <c r="O27" s="101" t="s">
        <v>33</v>
      </c>
      <c r="P27" s="87"/>
      <c r="Q27" s="105"/>
      <c r="R27" s="102"/>
      <c r="S27" s="101"/>
      <c r="T27" s="82"/>
      <c r="U27" s="82"/>
      <c r="V27" s="82"/>
      <c r="W27" s="84"/>
      <c r="X27" s="82"/>
      <c r="Y27" s="82"/>
      <c r="Z27" s="101"/>
      <c r="AA27" s="84"/>
      <c r="AB27" s="101" t="s">
        <v>295</v>
      </c>
      <c r="AE27" s="116" t="s">
        <v>165</v>
      </c>
      <c r="AF27" s="119" t="str">
        <f t="shared" si="14"/>
        <v>2</v>
      </c>
      <c r="AG27" s="119" t="str">
        <f t="shared" si="15"/>
        <v>0</v>
      </c>
      <c r="AH27" s="119">
        <f t="shared" si="6"/>
        <v>4</v>
      </c>
      <c r="AI27" s="120">
        <f t="shared" si="16"/>
        <v>7</v>
      </c>
      <c r="AJ27" s="120">
        <f t="shared" si="17"/>
        <v>6</v>
      </c>
      <c r="AK27" s="119" t="str">
        <f t="shared" si="18"/>
        <v>2(2,0,</v>
      </c>
      <c r="AL27" s="119" t="str">
        <f t="shared" si="7"/>
        <v>2(2,0,4)</v>
      </c>
      <c r="AM27" s="119" t="s">
        <v>165</v>
      </c>
      <c r="AN27" s="119" t="str">
        <f t="shared" si="8"/>
        <v>2(2,0,4)</v>
      </c>
      <c r="AO27" s="119">
        <f t="shared" si="4"/>
        <v>1</v>
      </c>
      <c r="AP27" s="119">
        <f t="shared" si="5"/>
        <v>7</v>
      </c>
    </row>
    <row r="28" spans="1:42" s="100" customFormat="1" ht="12" x14ac:dyDescent="0.2">
      <c r="A28" s="104">
        <f>SUBTOTAL(3,B$9:$B28)</f>
        <v>20</v>
      </c>
      <c r="B28" s="101" t="s">
        <v>6</v>
      </c>
      <c r="C28" s="101" t="s">
        <v>166</v>
      </c>
      <c r="D28" s="106" t="s">
        <v>166</v>
      </c>
      <c r="E28" s="115" t="s">
        <v>154</v>
      </c>
      <c r="F28" s="121" t="s">
        <v>122</v>
      </c>
      <c r="G28" s="121"/>
      <c r="H28" s="130" t="s">
        <v>123</v>
      </c>
      <c r="I28" s="116" t="s">
        <v>120</v>
      </c>
      <c r="J28" s="123">
        <v>60</v>
      </c>
      <c r="K28" s="101">
        <v>0</v>
      </c>
      <c r="L28" s="124" t="s">
        <v>74</v>
      </c>
      <c r="M28" s="118"/>
      <c r="N28" s="107"/>
      <c r="O28" s="101" t="s">
        <v>33</v>
      </c>
      <c r="P28" s="87"/>
      <c r="Q28" s="105"/>
      <c r="R28" s="102"/>
      <c r="S28" s="101"/>
      <c r="T28" s="82"/>
      <c r="U28" s="82"/>
      <c r="V28" s="82"/>
      <c r="W28" s="84"/>
      <c r="X28" s="82"/>
      <c r="Y28" s="82"/>
      <c r="Z28" s="101"/>
      <c r="AA28" s="84"/>
      <c r="AB28" s="101" t="s">
        <v>295</v>
      </c>
      <c r="AE28" s="116" t="s">
        <v>163</v>
      </c>
      <c r="AF28" s="119" t="str">
        <f t="shared" si="14"/>
        <v>0</v>
      </c>
      <c r="AG28" s="119" t="str">
        <f t="shared" si="15"/>
        <v>2</v>
      </c>
      <c r="AH28" s="119">
        <f t="shared" si="6"/>
        <v>2</v>
      </c>
      <c r="AI28" s="120">
        <f t="shared" si="16"/>
        <v>7</v>
      </c>
      <c r="AJ28" s="120">
        <f t="shared" si="17"/>
        <v>6</v>
      </c>
      <c r="AK28" s="119" t="str">
        <f t="shared" si="18"/>
        <v>2(0,2,</v>
      </c>
      <c r="AL28" s="119" t="str">
        <f>AK28&amp;AH28&amp;")"</f>
        <v>2(0,2,2)</v>
      </c>
      <c r="AM28" s="119" t="s">
        <v>163</v>
      </c>
      <c r="AN28" s="119" t="str">
        <f t="shared" si="8"/>
        <v>2(0,2,2)</v>
      </c>
      <c r="AO28" s="119">
        <f t="shared" si="4"/>
        <v>1</v>
      </c>
      <c r="AP28" s="119">
        <f t="shared" si="5"/>
        <v>7</v>
      </c>
    </row>
    <row r="29" spans="1:42" x14ac:dyDescent="0.2">
      <c r="A29" s="104">
        <f>SUBTOTAL(3,B$9:$B29)</f>
        <v>21</v>
      </c>
      <c r="B29" s="82" t="s">
        <v>6</v>
      </c>
      <c r="C29" s="82"/>
      <c r="D29" s="84"/>
      <c r="E29" s="83"/>
      <c r="F29" s="83"/>
      <c r="G29" s="85"/>
      <c r="H29" s="84"/>
      <c r="I29" s="82"/>
      <c r="J29" s="82"/>
      <c r="K29" s="82"/>
      <c r="L29" s="82"/>
      <c r="M29" s="82"/>
      <c r="N29" s="82"/>
      <c r="O29" s="82"/>
      <c r="P29" s="87"/>
      <c r="Q29" s="87"/>
      <c r="R29" s="84"/>
      <c r="S29" s="82"/>
      <c r="T29" s="82"/>
      <c r="U29" s="82"/>
      <c r="V29" s="82"/>
      <c r="W29" s="84"/>
      <c r="X29" s="82"/>
      <c r="Y29" s="82"/>
      <c r="Z29" s="82"/>
      <c r="AA29" s="84"/>
      <c r="AB29" s="101" t="s">
        <v>295</v>
      </c>
      <c r="AE29" s="82"/>
      <c r="AF29" s="90"/>
      <c r="AG29" s="90"/>
      <c r="AH29" s="90"/>
      <c r="AI29" s="99"/>
      <c r="AJ29" s="99"/>
      <c r="AK29" s="90"/>
      <c r="AL29" s="90"/>
      <c r="AM29" s="82"/>
      <c r="AN29" s="90">
        <f t="shared" si="8"/>
        <v>0</v>
      </c>
      <c r="AO29" s="90">
        <f t="shared" si="4"/>
        <v>1</v>
      </c>
      <c r="AP29" s="90" t="e">
        <f t="shared" si="5"/>
        <v>#VALUE!</v>
      </c>
    </row>
    <row r="30" spans="1:42" s="100" customFormat="1" ht="12" x14ac:dyDescent="0.2">
      <c r="A30" s="104">
        <f>SUBTOTAL(3,B$9:$B30)</f>
        <v>22</v>
      </c>
      <c r="B30" s="101" t="s">
        <v>6</v>
      </c>
      <c r="C30" s="101" t="s">
        <v>168</v>
      </c>
      <c r="D30" s="102" t="s">
        <v>168</v>
      </c>
      <c r="E30" s="115" t="s">
        <v>149</v>
      </c>
      <c r="F30" s="121" t="s">
        <v>150</v>
      </c>
      <c r="G30" s="121"/>
      <c r="H30" s="102" t="s">
        <v>129</v>
      </c>
      <c r="I30" s="119" t="s">
        <v>111</v>
      </c>
      <c r="J30" s="123">
        <v>60</v>
      </c>
      <c r="K30" s="101">
        <v>0</v>
      </c>
      <c r="L30" s="124" t="s">
        <v>74</v>
      </c>
      <c r="M30" s="118"/>
      <c r="N30" s="101"/>
      <c r="O30" s="101" t="s">
        <v>33</v>
      </c>
      <c r="P30" s="87"/>
      <c r="Q30" s="105">
        <v>18</v>
      </c>
      <c r="R30" s="102" t="s">
        <v>170</v>
      </c>
      <c r="S30" s="101"/>
      <c r="T30" s="82"/>
      <c r="U30" s="82"/>
      <c r="V30" s="82"/>
      <c r="W30" s="84"/>
      <c r="X30" s="82"/>
      <c r="Y30" s="82"/>
      <c r="Z30" s="101"/>
      <c r="AA30" s="84"/>
      <c r="AB30" s="101" t="s">
        <v>295</v>
      </c>
      <c r="AE30" s="119" t="s">
        <v>111</v>
      </c>
      <c r="AF30" s="119" t="str">
        <f t="shared" ref="AF30:AF35" si="19">MID(AE30,FIND("(",AE30)+1,1)</f>
        <v>2</v>
      </c>
      <c r="AG30" s="119" t="str">
        <f t="shared" ref="AG30:AG35" si="20">MID(AE30,FIND("(",AE30)+3,1)</f>
        <v>1</v>
      </c>
      <c r="AH30" s="119">
        <f t="shared" si="6"/>
        <v>5</v>
      </c>
      <c r="AI30" s="120">
        <f t="shared" ref="AI30:AI35" si="21">FIND(")",AE30)</f>
        <v>8</v>
      </c>
      <c r="AJ30" s="120"/>
      <c r="AK30" s="119"/>
      <c r="AL30" s="119"/>
      <c r="AM30" s="116" t="s">
        <v>111</v>
      </c>
      <c r="AN30" s="119" t="str">
        <f t="shared" si="8"/>
        <v>3(2,1,5)</v>
      </c>
      <c r="AO30" s="119">
        <f t="shared" si="4"/>
        <v>1</v>
      </c>
      <c r="AP30" s="119">
        <f t="shared" si="5"/>
        <v>7</v>
      </c>
    </row>
    <row r="31" spans="1:42" s="100" customFormat="1" ht="12" x14ac:dyDescent="0.2">
      <c r="A31" s="104">
        <f>SUBTOTAL(3,B$9:$B31)</f>
        <v>23</v>
      </c>
      <c r="B31" s="101" t="s">
        <v>6</v>
      </c>
      <c r="C31" s="101" t="s">
        <v>168</v>
      </c>
      <c r="D31" s="102" t="s">
        <v>168</v>
      </c>
      <c r="E31" s="115" t="s">
        <v>124</v>
      </c>
      <c r="F31" s="121" t="s">
        <v>125</v>
      </c>
      <c r="G31" s="121"/>
      <c r="H31" s="103" t="s">
        <v>129</v>
      </c>
      <c r="I31" s="116" t="s">
        <v>113</v>
      </c>
      <c r="J31" s="123">
        <v>75</v>
      </c>
      <c r="K31" s="101">
        <v>0</v>
      </c>
      <c r="L31" s="124" t="s">
        <v>74</v>
      </c>
      <c r="M31" s="118"/>
      <c r="N31" s="101"/>
      <c r="O31" s="101" t="s">
        <v>33</v>
      </c>
      <c r="P31" s="87"/>
      <c r="Q31" s="105"/>
      <c r="R31" s="102"/>
      <c r="S31" s="101"/>
      <c r="T31" s="82"/>
      <c r="U31" s="82"/>
      <c r="V31" s="82"/>
      <c r="W31" s="84"/>
      <c r="X31" s="82"/>
      <c r="Y31" s="82"/>
      <c r="Z31" s="101"/>
      <c r="AA31" s="84"/>
      <c r="AB31" s="101" t="s">
        <v>295</v>
      </c>
      <c r="AE31" s="116" t="s">
        <v>162</v>
      </c>
      <c r="AF31" s="119" t="str">
        <f t="shared" si="19"/>
        <v>1</v>
      </c>
      <c r="AG31" s="119" t="str">
        <f t="shared" si="20"/>
        <v>2</v>
      </c>
      <c r="AH31" s="119">
        <f t="shared" si="6"/>
        <v>4</v>
      </c>
      <c r="AI31" s="120">
        <f t="shared" si="21"/>
        <v>7</v>
      </c>
      <c r="AJ31" s="120">
        <f>FIND(",)",AE31)</f>
        <v>6</v>
      </c>
      <c r="AK31" s="119" t="str">
        <f>LEFT(AE31,AJ31)</f>
        <v>3(1,2,</v>
      </c>
      <c r="AL31" s="119" t="str">
        <f t="shared" ref="AL31:AL37" si="22">AK31&amp;AH31&amp;")"</f>
        <v>3(1,2,4)</v>
      </c>
      <c r="AM31" s="119" t="s">
        <v>162</v>
      </c>
      <c r="AN31" s="119" t="str">
        <f t="shared" si="8"/>
        <v>3(1,2,4)</v>
      </c>
      <c r="AO31" s="119">
        <f t="shared" si="4"/>
        <v>1</v>
      </c>
      <c r="AP31" s="119">
        <f t="shared" si="5"/>
        <v>7</v>
      </c>
    </row>
    <row r="32" spans="1:42" s="100" customFormat="1" ht="12" x14ac:dyDescent="0.2">
      <c r="A32" s="104">
        <f>SUBTOTAL(3,B$9:$B32)</f>
        <v>24</v>
      </c>
      <c r="B32" s="101" t="s">
        <v>6</v>
      </c>
      <c r="C32" s="101" t="s">
        <v>168</v>
      </c>
      <c r="D32" s="102" t="s">
        <v>168</v>
      </c>
      <c r="E32" s="115" t="s">
        <v>108</v>
      </c>
      <c r="F32" s="121" t="s">
        <v>109</v>
      </c>
      <c r="G32" s="121"/>
      <c r="H32" s="129" t="s">
        <v>36</v>
      </c>
      <c r="I32" s="119" t="s">
        <v>111</v>
      </c>
      <c r="J32" s="123">
        <v>60</v>
      </c>
      <c r="K32" s="101">
        <v>0</v>
      </c>
      <c r="L32" s="124" t="s">
        <v>74</v>
      </c>
      <c r="M32" s="118"/>
      <c r="N32" s="101"/>
      <c r="O32" s="101" t="s">
        <v>33</v>
      </c>
      <c r="P32" s="87"/>
      <c r="Q32" s="105"/>
      <c r="R32" s="102"/>
      <c r="S32" s="101"/>
      <c r="T32" s="82"/>
      <c r="U32" s="82"/>
      <c r="V32" s="82"/>
      <c r="W32" s="84"/>
      <c r="X32" s="82"/>
      <c r="Y32" s="82"/>
      <c r="Z32" s="101"/>
      <c r="AA32" s="84"/>
      <c r="AB32" s="101" t="s">
        <v>295</v>
      </c>
      <c r="AE32" s="119" t="s">
        <v>111</v>
      </c>
      <c r="AF32" s="119" t="str">
        <f t="shared" si="19"/>
        <v>2</v>
      </c>
      <c r="AG32" s="119" t="str">
        <f t="shared" si="20"/>
        <v>1</v>
      </c>
      <c r="AH32" s="119">
        <f t="shared" si="6"/>
        <v>5</v>
      </c>
      <c r="AI32" s="120">
        <f t="shared" si="21"/>
        <v>8</v>
      </c>
      <c r="AJ32" s="120"/>
      <c r="AK32" s="119"/>
      <c r="AL32" s="119"/>
      <c r="AM32" s="116" t="s">
        <v>111</v>
      </c>
      <c r="AN32" s="119" t="str">
        <f t="shared" si="8"/>
        <v>3(2,1,5)</v>
      </c>
      <c r="AO32" s="119">
        <f t="shared" si="4"/>
        <v>1</v>
      </c>
      <c r="AP32" s="119">
        <f t="shared" si="5"/>
        <v>7</v>
      </c>
    </row>
    <row r="33" spans="1:42" s="100" customFormat="1" ht="12" x14ac:dyDescent="0.2">
      <c r="A33" s="104">
        <f>SUBTOTAL(3,B$9:$B33)</f>
        <v>25</v>
      </c>
      <c r="B33" s="101" t="s">
        <v>6</v>
      </c>
      <c r="C33" s="101" t="s">
        <v>168</v>
      </c>
      <c r="D33" s="102" t="s">
        <v>168</v>
      </c>
      <c r="E33" s="115" t="s">
        <v>152</v>
      </c>
      <c r="F33" s="121" t="s">
        <v>121</v>
      </c>
      <c r="G33" s="121"/>
      <c r="H33" s="129" t="s">
        <v>123</v>
      </c>
      <c r="I33" s="119" t="s">
        <v>112</v>
      </c>
      <c r="J33" s="123">
        <v>75</v>
      </c>
      <c r="K33" s="101">
        <v>0</v>
      </c>
      <c r="L33" s="124" t="s">
        <v>74</v>
      </c>
      <c r="M33" s="118"/>
      <c r="N33" s="101"/>
      <c r="O33" s="101" t="s">
        <v>33</v>
      </c>
      <c r="P33" s="87"/>
      <c r="Q33" s="105"/>
      <c r="R33" s="102"/>
      <c r="S33" s="101"/>
      <c r="T33" s="82"/>
      <c r="U33" s="82"/>
      <c r="V33" s="82"/>
      <c r="W33" s="84"/>
      <c r="X33" s="82"/>
      <c r="Y33" s="82"/>
      <c r="Z33" s="101"/>
      <c r="AA33" s="84"/>
      <c r="AB33" s="101" t="s">
        <v>295</v>
      </c>
      <c r="AE33" s="119" t="s">
        <v>112</v>
      </c>
      <c r="AF33" s="119" t="str">
        <f t="shared" si="19"/>
        <v>3</v>
      </c>
      <c r="AG33" s="119" t="str">
        <f t="shared" si="20"/>
        <v>1</v>
      </c>
      <c r="AH33" s="119">
        <f t="shared" si="6"/>
        <v>7</v>
      </c>
      <c r="AI33" s="120">
        <f t="shared" si="21"/>
        <v>8</v>
      </c>
      <c r="AJ33" s="120"/>
      <c r="AK33" s="119"/>
      <c r="AL33" s="119"/>
      <c r="AM33" s="116" t="s">
        <v>112</v>
      </c>
      <c r="AN33" s="119" t="str">
        <f t="shared" si="8"/>
        <v>4(3,1,7)</v>
      </c>
      <c r="AO33" s="119">
        <f t="shared" si="4"/>
        <v>1</v>
      </c>
      <c r="AP33" s="119">
        <f t="shared" si="5"/>
        <v>7</v>
      </c>
    </row>
    <row r="34" spans="1:42" s="100" customFormat="1" ht="12" x14ac:dyDescent="0.2">
      <c r="A34" s="104">
        <f>SUBTOTAL(3,B$9:$B34)</f>
        <v>26</v>
      </c>
      <c r="B34" s="101" t="s">
        <v>6</v>
      </c>
      <c r="C34" s="101" t="s">
        <v>168</v>
      </c>
      <c r="D34" s="102" t="s">
        <v>168</v>
      </c>
      <c r="E34" s="115" t="s">
        <v>126</v>
      </c>
      <c r="F34" s="121" t="s">
        <v>127</v>
      </c>
      <c r="G34" s="121"/>
      <c r="H34" s="129" t="s">
        <v>123</v>
      </c>
      <c r="I34" s="116" t="s">
        <v>130</v>
      </c>
      <c r="J34" s="123">
        <v>30</v>
      </c>
      <c r="K34" s="101">
        <v>0</v>
      </c>
      <c r="L34" s="124" t="s">
        <v>74</v>
      </c>
      <c r="M34" s="118"/>
      <c r="N34" s="101"/>
      <c r="O34" s="101" t="s">
        <v>33</v>
      </c>
      <c r="P34" s="87"/>
      <c r="Q34" s="105"/>
      <c r="R34" s="102"/>
      <c r="S34" s="101"/>
      <c r="T34" s="82"/>
      <c r="U34" s="82"/>
      <c r="V34" s="82"/>
      <c r="W34" s="84"/>
      <c r="X34" s="82"/>
      <c r="Y34" s="82"/>
      <c r="Z34" s="101"/>
      <c r="AA34" s="84"/>
      <c r="AB34" s="101" t="s">
        <v>295</v>
      </c>
      <c r="AE34" s="116" t="s">
        <v>165</v>
      </c>
      <c r="AF34" s="119" t="str">
        <f t="shared" si="19"/>
        <v>2</v>
      </c>
      <c r="AG34" s="119" t="str">
        <f t="shared" si="20"/>
        <v>0</v>
      </c>
      <c r="AH34" s="119">
        <f t="shared" si="6"/>
        <v>4</v>
      </c>
      <c r="AI34" s="120">
        <f t="shared" si="21"/>
        <v>7</v>
      </c>
      <c r="AJ34" s="120">
        <f>FIND(",)",AE34)</f>
        <v>6</v>
      </c>
      <c r="AK34" s="119" t="str">
        <f>LEFT(AE34,AJ34)</f>
        <v>2(2,0,</v>
      </c>
      <c r="AL34" s="119" t="str">
        <f t="shared" si="22"/>
        <v>2(2,0,4)</v>
      </c>
      <c r="AM34" s="119" t="s">
        <v>165</v>
      </c>
      <c r="AN34" s="119" t="str">
        <f t="shared" si="8"/>
        <v>2(2,0,4)</v>
      </c>
      <c r="AO34" s="119">
        <f t="shared" si="4"/>
        <v>1</v>
      </c>
      <c r="AP34" s="119">
        <f t="shared" si="5"/>
        <v>7</v>
      </c>
    </row>
    <row r="35" spans="1:42" s="100" customFormat="1" ht="12" x14ac:dyDescent="0.2">
      <c r="A35" s="104">
        <f>SUBTOTAL(3,B$9:$B35)</f>
        <v>27</v>
      </c>
      <c r="B35" s="101" t="s">
        <v>6</v>
      </c>
      <c r="C35" s="101" t="s">
        <v>168</v>
      </c>
      <c r="D35" s="102" t="s">
        <v>168</v>
      </c>
      <c r="E35" s="115" t="s">
        <v>154</v>
      </c>
      <c r="F35" s="121" t="s">
        <v>122</v>
      </c>
      <c r="G35" s="121"/>
      <c r="H35" s="129" t="s">
        <v>123</v>
      </c>
      <c r="I35" s="116" t="s">
        <v>120</v>
      </c>
      <c r="J35" s="123">
        <v>60</v>
      </c>
      <c r="K35" s="101">
        <v>0</v>
      </c>
      <c r="L35" s="124" t="s">
        <v>74</v>
      </c>
      <c r="M35" s="118"/>
      <c r="N35" s="101"/>
      <c r="O35" s="101" t="s">
        <v>33</v>
      </c>
      <c r="P35" s="87"/>
      <c r="Q35" s="105"/>
      <c r="R35" s="102"/>
      <c r="S35" s="101"/>
      <c r="T35" s="82"/>
      <c r="U35" s="82"/>
      <c r="V35" s="82"/>
      <c r="W35" s="84"/>
      <c r="X35" s="82"/>
      <c r="Y35" s="82"/>
      <c r="Z35" s="101"/>
      <c r="AA35" s="84"/>
      <c r="AB35" s="101" t="s">
        <v>295</v>
      </c>
      <c r="AE35" s="116" t="s">
        <v>163</v>
      </c>
      <c r="AF35" s="119" t="str">
        <f t="shared" si="19"/>
        <v>0</v>
      </c>
      <c r="AG35" s="119" t="str">
        <f t="shared" si="20"/>
        <v>2</v>
      </c>
      <c r="AH35" s="119">
        <f t="shared" si="6"/>
        <v>2</v>
      </c>
      <c r="AI35" s="120">
        <f t="shared" si="21"/>
        <v>7</v>
      </c>
      <c r="AJ35" s="120">
        <f>FIND(",)",AE35)</f>
        <v>6</v>
      </c>
      <c r="AK35" s="119" t="str">
        <f>LEFT(AE35,AJ35)</f>
        <v>2(0,2,</v>
      </c>
      <c r="AL35" s="119" t="str">
        <f t="shared" si="22"/>
        <v>2(0,2,2)</v>
      </c>
      <c r="AM35" s="119" t="s">
        <v>163</v>
      </c>
      <c r="AN35" s="119" t="str">
        <f t="shared" si="8"/>
        <v>2(0,2,2)</v>
      </c>
      <c r="AO35" s="119">
        <f t="shared" si="4"/>
        <v>1</v>
      </c>
      <c r="AP35" s="119">
        <f t="shared" si="5"/>
        <v>7</v>
      </c>
    </row>
    <row r="36" spans="1:42" x14ac:dyDescent="0.2">
      <c r="A36" s="104">
        <f>SUBTOTAL(3,B$9:$B36)</f>
        <v>28</v>
      </c>
      <c r="B36" s="82" t="s">
        <v>6</v>
      </c>
      <c r="C36" s="82"/>
      <c r="D36" s="84"/>
      <c r="E36" s="83"/>
      <c r="F36" s="83"/>
      <c r="G36" s="85"/>
      <c r="H36" s="84"/>
      <c r="I36" s="82"/>
      <c r="J36" s="82"/>
      <c r="K36" s="82"/>
      <c r="L36" s="82"/>
      <c r="M36" s="82"/>
      <c r="N36" s="82"/>
      <c r="O36" s="82"/>
      <c r="P36" s="87"/>
      <c r="Q36" s="87"/>
      <c r="R36" s="84"/>
      <c r="S36" s="82"/>
      <c r="T36" s="82"/>
      <c r="U36" s="82"/>
      <c r="V36" s="82"/>
      <c r="W36" s="84"/>
      <c r="X36" s="82"/>
      <c r="Y36" s="82"/>
      <c r="Z36" s="82"/>
      <c r="AA36" s="84"/>
      <c r="AB36" s="82"/>
      <c r="AE36" s="82"/>
      <c r="AF36" s="90"/>
      <c r="AG36" s="90"/>
      <c r="AH36" s="90"/>
      <c r="AI36" s="99"/>
      <c r="AJ36" s="99"/>
      <c r="AK36" s="90"/>
      <c r="AL36" s="90"/>
      <c r="AM36" s="82"/>
      <c r="AN36" s="90">
        <f t="shared" si="8"/>
        <v>0</v>
      </c>
      <c r="AO36" s="90">
        <f t="shared" si="4"/>
        <v>1</v>
      </c>
      <c r="AP36" s="90" t="e">
        <f t="shared" si="5"/>
        <v>#VALUE!</v>
      </c>
    </row>
    <row r="37" spans="1:42" s="100" customFormat="1" ht="24" x14ac:dyDescent="0.2">
      <c r="A37" s="104">
        <f>SUBTOTAL(3,B$9:$B37)</f>
        <v>29</v>
      </c>
      <c r="B37" s="101" t="s">
        <v>6</v>
      </c>
      <c r="C37" s="109" t="s">
        <v>129</v>
      </c>
      <c r="D37" s="106" t="s">
        <v>149</v>
      </c>
      <c r="E37" s="115" t="s">
        <v>142</v>
      </c>
      <c r="F37" s="121" t="s">
        <v>172</v>
      </c>
      <c r="G37" s="121"/>
      <c r="H37" s="102" t="s">
        <v>129</v>
      </c>
      <c r="I37" s="116" t="s">
        <v>112</v>
      </c>
      <c r="J37" s="123">
        <v>75</v>
      </c>
      <c r="K37" s="101">
        <v>0</v>
      </c>
      <c r="L37" s="110" t="s">
        <v>74</v>
      </c>
      <c r="M37" s="117"/>
      <c r="N37" s="118"/>
      <c r="O37" s="101" t="s">
        <v>33</v>
      </c>
      <c r="P37" s="87"/>
      <c r="Q37" s="105">
        <v>17</v>
      </c>
      <c r="R37" s="102" t="s">
        <v>206</v>
      </c>
      <c r="S37" s="101"/>
      <c r="T37" s="82"/>
      <c r="U37" s="82"/>
      <c r="V37" s="82"/>
      <c r="W37" s="84"/>
      <c r="X37" s="82"/>
      <c r="Y37" s="82"/>
      <c r="Z37" s="101"/>
      <c r="AA37" s="84"/>
      <c r="AB37" s="101"/>
      <c r="AE37" s="116" t="s">
        <v>173</v>
      </c>
      <c r="AF37" s="119" t="str">
        <f t="shared" ref="AF37:AF42" si="23">MID(AE37,FIND("(",AE37)+1,1)</f>
        <v>3</v>
      </c>
      <c r="AG37" s="119" t="str">
        <f t="shared" ref="AG37:AG42" si="24">MID(AE37,FIND("(",AE37)+3,1)</f>
        <v>1</v>
      </c>
      <c r="AH37" s="119">
        <f t="shared" si="6"/>
        <v>7</v>
      </c>
      <c r="AI37" s="120">
        <f t="shared" ref="AI37:AI42" si="25">FIND(")",AE37)</f>
        <v>7</v>
      </c>
      <c r="AJ37" s="120">
        <f t="shared" ref="AJ37:AJ42" si="26">FIND(",)",AE37)</f>
        <v>6</v>
      </c>
      <c r="AK37" s="119" t="str">
        <f t="shared" ref="AK37:AK42" si="27">LEFT(AE37,AJ37)</f>
        <v>4(3,1,</v>
      </c>
      <c r="AL37" s="119" t="str">
        <f t="shared" si="22"/>
        <v>4(3,1,7)</v>
      </c>
      <c r="AM37" s="119" t="s">
        <v>173</v>
      </c>
      <c r="AN37" s="119" t="str">
        <f t="shared" si="8"/>
        <v>4(3,1,7)</v>
      </c>
      <c r="AO37" s="119">
        <f t="shared" si="4"/>
        <v>1</v>
      </c>
      <c r="AP37" s="119">
        <f t="shared" si="5"/>
        <v>7</v>
      </c>
    </row>
    <row r="38" spans="1:42" s="100" customFormat="1" ht="24" x14ac:dyDescent="0.2">
      <c r="A38" s="104">
        <f>SUBTOTAL(3,B$9:$B38)</f>
        <v>30</v>
      </c>
      <c r="B38" s="101" t="s">
        <v>6</v>
      </c>
      <c r="C38" s="109" t="s">
        <v>129</v>
      </c>
      <c r="D38" s="106" t="s">
        <v>149</v>
      </c>
      <c r="E38" s="115" t="s">
        <v>181</v>
      </c>
      <c r="F38" s="121" t="s">
        <v>174</v>
      </c>
      <c r="G38" s="121"/>
      <c r="H38" s="103" t="s">
        <v>129</v>
      </c>
      <c r="I38" s="116" t="s">
        <v>113</v>
      </c>
      <c r="J38" s="123">
        <v>75</v>
      </c>
      <c r="K38" s="101">
        <v>0</v>
      </c>
      <c r="L38" s="110" t="s">
        <v>74</v>
      </c>
      <c r="M38" s="117"/>
      <c r="N38" s="118"/>
      <c r="O38" s="101" t="s">
        <v>33</v>
      </c>
      <c r="P38" s="87"/>
      <c r="Q38" s="105"/>
      <c r="R38" s="102"/>
      <c r="S38" s="101"/>
      <c r="T38" s="82"/>
      <c r="U38" s="82"/>
      <c r="V38" s="82"/>
      <c r="W38" s="84"/>
      <c r="X38" s="82"/>
      <c r="Y38" s="82"/>
      <c r="Z38" s="101"/>
      <c r="AA38" s="84"/>
      <c r="AB38" s="101"/>
      <c r="AE38" s="116" t="s">
        <v>162</v>
      </c>
      <c r="AF38" s="119" t="str">
        <f t="shared" si="23"/>
        <v>1</v>
      </c>
      <c r="AG38" s="119" t="str">
        <f t="shared" si="24"/>
        <v>2</v>
      </c>
      <c r="AH38" s="119">
        <f t="shared" si="6"/>
        <v>4</v>
      </c>
      <c r="AI38" s="120">
        <f t="shared" si="25"/>
        <v>7</v>
      </c>
      <c r="AJ38" s="120">
        <f t="shared" si="26"/>
        <v>6</v>
      </c>
      <c r="AK38" s="119" t="str">
        <f t="shared" si="27"/>
        <v>3(1,2,</v>
      </c>
      <c r="AL38" s="119" t="str">
        <f>AK38&amp;AH38&amp;")"</f>
        <v>3(1,2,4)</v>
      </c>
      <c r="AM38" s="119" t="s">
        <v>162</v>
      </c>
      <c r="AN38" s="119" t="str">
        <f t="shared" si="8"/>
        <v>3(1,2,4)</v>
      </c>
      <c r="AO38" s="119">
        <f t="shared" si="4"/>
        <v>1</v>
      </c>
      <c r="AP38" s="119">
        <f t="shared" si="5"/>
        <v>7</v>
      </c>
    </row>
    <row r="39" spans="1:42" s="100" customFormat="1" ht="12" x14ac:dyDescent="0.2">
      <c r="A39" s="104">
        <f>SUBTOTAL(3,B$9:$B39)</f>
        <v>31</v>
      </c>
      <c r="B39" s="101" t="s">
        <v>6</v>
      </c>
      <c r="C39" s="109" t="s">
        <v>129</v>
      </c>
      <c r="D39" s="106" t="s">
        <v>149</v>
      </c>
      <c r="E39" s="115" t="s">
        <v>144</v>
      </c>
      <c r="F39" s="121" t="s">
        <v>175</v>
      </c>
      <c r="G39" s="121"/>
      <c r="H39" s="103" t="s">
        <v>129</v>
      </c>
      <c r="I39" s="116" t="s">
        <v>113</v>
      </c>
      <c r="J39" s="123">
        <v>75</v>
      </c>
      <c r="K39" s="101">
        <v>0</v>
      </c>
      <c r="L39" s="110" t="s">
        <v>74</v>
      </c>
      <c r="M39" s="117"/>
      <c r="N39" s="118"/>
      <c r="O39" s="101" t="s">
        <v>33</v>
      </c>
      <c r="P39" s="87"/>
      <c r="Q39" s="105"/>
      <c r="R39" s="102"/>
      <c r="S39" s="101"/>
      <c r="T39" s="82"/>
      <c r="U39" s="82"/>
      <c r="V39" s="82"/>
      <c r="W39" s="84"/>
      <c r="X39" s="82"/>
      <c r="Y39" s="82"/>
      <c r="Z39" s="101"/>
      <c r="AA39" s="84"/>
      <c r="AB39" s="101"/>
      <c r="AE39" s="116" t="s">
        <v>162</v>
      </c>
      <c r="AF39" s="119" t="str">
        <f t="shared" si="23"/>
        <v>1</v>
      </c>
      <c r="AG39" s="119" t="str">
        <f t="shared" si="24"/>
        <v>2</v>
      </c>
      <c r="AH39" s="119">
        <f t="shared" si="6"/>
        <v>4</v>
      </c>
      <c r="AI39" s="120">
        <f t="shared" si="25"/>
        <v>7</v>
      </c>
      <c r="AJ39" s="120">
        <f t="shared" si="26"/>
        <v>6</v>
      </c>
      <c r="AK39" s="119" t="str">
        <f t="shared" si="27"/>
        <v>3(1,2,</v>
      </c>
      <c r="AL39" s="119" t="str">
        <f t="shared" ref="AL39:AL45" si="28">AK39&amp;AH39&amp;")"</f>
        <v>3(1,2,4)</v>
      </c>
      <c r="AM39" s="119" t="s">
        <v>162</v>
      </c>
      <c r="AN39" s="119" t="str">
        <f t="shared" si="8"/>
        <v>3(1,2,4)</v>
      </c>
      <c r="AO39" s="119">
        <f t="shared" si="4"/>
        <v>1</v>
      </c>
      <c r="AP39" s="119">
        <f t="shared" si="5"/>
        <v>7</v>
      </c>
    </row>
    <row r="40" spans="1:42" s="100" customFormat="1" ht="24" x14ac:dyDescent="0.2">
      <c r="A40" s="104">
        <f>SUBTOTAL(3,B$9:$B40)</f>
        <v>32</v>
      </c>
      <c r="B40" s="101" t="s">
        <v>6</v>
      </c>
      <c r="C40" s="109" t="s">
        <v>129</v>
      </c>
      <c r="D40" s="106" t="s">
        <v>149</v>
      </c>
      <c r="E40" s="115" t="s">
        <v>182</v>
      </c>
      <c r="F40" s="121" t="s">
        <v>176</v>
      </c>
      <c r="G40" s="121"/>
      <c r="H40" s="103" t="s">
        <v>129</v>
      </c>
      <c r="I40" s="116" t="s">
        <v>111</v>
      </c>
      <c r="J40" s="123">
        <v>60</v>
      </c>
      <c r="K40" s="101">
        <v>0</v>
      </c>
      <c r="L40" s="110" t="s">
        <v>74</v>
      </c>
      <c r="M40" s="117"/>
      <c r="N40" s="118"/>
      <c r="O40" s="101" t="s">
        <v>33</v>
      </c>
      <c r="P40" s="87"/>
      <c r="Q40" s="105"/>
      <c r="R40" s="102"/>
      <c r="S40" s="101"/>
      <c r="T40" s="82"/>
      <c r="U40" s="82"/>
      <c r="V40" s="82"/>
      <c r="W40" s="84"/>
      <c r="X40" s="82"/>
      <c r="Y40" s="82"/>
      <c r="Z40" s="101"/>
      <c r="AA40" s="84"/>
      <c r="AB40" s="101"/>
      <c r="AE40" s="116" t="s">
        <v>177</v>
      </c>
      <c r="AF40" s="119" t="str">
        <f t="shared" si="23"/>
        <v>2</v>
      </c>
      <c r="AG40" s="119" t="str">
        <f t="shared" si="24"/>
        <v>1</v>
      </c>
      <c r="AH40" s="119">
        <f t="shared" si="6"/>
        <v>5</v>
      </c>
      <c r="AI40" s="120">
        <f t="shared" si="25"/>
        <v>7</v>
      </c>
      <c r="AJ40" s="120">
        <f t="shared" si="26"/>
        <v>6</v>
      </c>
      <c r="AK40" s="119" t="str">
        <f t="shared" si="27"/>
        <v>3(2,1,</v>
      </c>
      <c r="AL40" s="119" t="str">
        <f t="shared" si="28"/>
        <v>3(2,1,5)</v>
      </c>
      <c r="AM40" s="119" t="s">
        <v>177</v>
      </c>
      <c r="AN40" s="119" t="str">
        <f t="shared" si="8"/>
        <v>3(2,1,5)</v>
      </c>
      <c r="AO40" s="119">
        <f t="shared" si="4"/>
        <v>1</v>
      </c>
      <c r="AP40" s="119">
        <f t="shared" si="5"/>
        <v>7</v>
      </c>
    </row>
    <row r="41" spans="1:42" s="100" customFormat="1" ht="12" x14ac:dyDescent="0.2">
      <c r="A41" s="104">
        <f>SUBTOTAL(3,B$9:$B41)</f>
        <v>33</v>
      </c>
      <c r="B41" s="101" t="s">
        <v>6</v>
      </c>
      <c r="C41" s="109" t="s">
        <v>129</v>
      </c>
      <c r="D41" s="106" t="s">
        <v>149</v>
      </c>
      <c r="E41" s="115" t="s">
        <v>183</v>
      </c>
      <c r="F41" s="121" t="s">
        <v>178</v>
      </c>
      <c r="G41" s="121"/>
      <c r="H41" s="103" t="s">
        <v>129</v>
      </c>
      <c r="I41" s="116" t="s">
        <v>113</v>
      </c>
      <c r="J41" s="123">
        <v>75</v>
      </c>
      <c r="K41" s="101">
        <v>0</v>
      </c>
      <c r="L41" s="110" t="s">
        <v>74</v>
      </c>
      <c r="M41" s="117"/>
      <c r="N41" s="118"/>
      <c r="O41" s="101" t="s">
        <v>33</v>
      </c>
      <c r="P41" s="87"/>
      <c r="Q41" s="105"/>
      <c r="R41" s="102"/>
      <c r="S41" s="101"/>
      <c r="T41" s="82"/>
      <c r="U41" s="82"/>
      <c r="V41" s="82"/>
      <c r="W41" s="84"/>
      <c r="X41" s="82"/>
      <c r="Y41" s="82"/>
      <c r="Z41" s="101"/>
      <c r="AA41" s="84"/>
      <c r="AB41" s="101"/>
      <c r="AE41" s="116" t="s">
        <v>162</v>
      </c>
      <c r="AF41" s="119" t="str">
        <f t="shared" si="23"/>
        <v>1</v>
      </c>
      <c r="AG41" s="119" t="str">
        <f t="shared" si="24"/>
        <v>2</v>
      </c>
      <c r="AH41" s="119">
        <f t="shared" si="6"/>
        <v>4</v>
      </c>
      <c r="AI41" s="120">
        <f t="shared" si="25"/>
        <v>7</v>
      </c>
      <c r="AJ41" s="120">
        <f t="shared" si="26"/>
        <v>6</v>
      </c>
      <c r="AK41" s="119" t="str">
        <f t="shared" si="27"/>
        <v>3(1,2,</v>
      </c>
      <c r="AL41" s="119" t="str">
        <f t="shared" si="28"/>
        <v>3(1,2,4)</v>
      </c>
      <c r="AM41" s="119" t="s">
        <v>162</v>
      </c>
      <c r="AN41" s="119" t="str">
        <f t="shared" si="8"/>
        <v>3(1,2,4)</v>
      </c>
      <c r="AO41" s="119">
        <f t="shared" ref="AO41:AO72" si="29">FIND(AK41,AN41,1)</f>
        <v>1</v>
      </c>
      <c r="AP41" s="119">
        <f t="shared" ref="AP41:AP72" si="30">FIND(AH41&amp;")",AN41,1)</f>
        <v>7</v>
      </c>
    </row>
    <row r="42" spans="1:42" s="100" customFormat="1" ht="12" x14ac:dyDescent="0.2">
      <c r="A42" s="104">
        <f>SUBTOTAL(3,B$9:$B42)</f>
        <v>34</v>
      </c>
      <c r="B42" s="101" t="s">
        <v>6</v>
      </c>
      <c r="C42" s="109" t="s">
        <v>129</v>
      </c>
      <c r="D42" s="106" t="s">
        <v>149</v>
      </c>
      <c r="E42" s="115" t="s">
        <v>180</v>
      </c>
      <c r="F42" s="121" t="s">
        <v>179</v>
      </c>
      <c r="G42" s="121"/>
      <c r="H42" s="103" t="s">
        <v>129</v>
      </c>
      <c r="I42" s="116" t="s">
        <v>130</v>
      </c>
      <c r="J42" s="123">
        <v>30</v>
      </c>
      <c r="K42" s="101">
        <v>0</v>
      </c>
      <c r="L42" s="110" t="s">
        <v>74</v>
      </c>
      <c r="M42" s="117"/>
      <c r="N42" s="118"/>
      <c r="O42" s="101" t="s">
        <v>33</v>
      </c>
      <c r="P42" s="87"/>
      <c r="Q42" s="105"/>
      <c r="R42" s="102"/>
      <c r="S42" s="101"/>
      <c r="T42" s="82"/>
      <c r="U42" s="82"/>
      <c r="V42" s="82"/>
      <c r="W42" s="84"/>
      <c r="X42" s="82"/>
      <c r="Y42" s="82"/>
      <c r="Z42" s="101"/>
      <c r="AA42" s="84"/>
      <c r="AB42" s="101"/>
      <c r="AE42" s="116" t="s">
        <v>165</v>
      </c>
      <c r="AF42" s="119" t="str">
        <f t="shared" si="23"/>
        <v>2</v>
      </c>
      <c r="AG42" s="119" t="str">
        <f t="shared" si="24"/>
        <v>0</v>
      </c>
      <c r="AH42" s="119">
        <f t="shared" si="6"/>
        <v>4</v>
      </c>
      <c r="AI42" s="120">
        <f t="shared" si="25"/>
        <v>7</v>
      </c>
      <c r="AJ42" s="120">
        <f t="shared" si="26"/>
        <v>6</v>
      </c>
      <c r="AK42" s="119" t="str">
        <f t="shared" si="27"/>
        <v>2(2,0,</v>
      </c>
      <c r="AL42" s="119" t="str">
        <f t="shared" si="28"/>
        <v>2(2,0,4)</v>
      </c>
      <c r="AM42" s="119" t="s">
        <v>165</v>
      </c>
      <c r="AN42" s="119" t="str">
        <f t="shared" si="8"/>
        <v>2(2,0,4)</v>
      </c>
      <c r="AO42" s="119">
        <f t="shared" si="29"/>
        <v>1</v>
      </c>
      <c r="AP42" s="119">
        <f t="shared" si="30"/>
        <v>7</v>
      </c>
    </row>
    <row r="43" spans="1:42" x14ac:dyDescent="0.2">
      <c r="A43" s="104">
        <f>SUBTOTAL(3,B$9:$B43)</f>
        <v>35</v>
      </c>
      <c r="B43" s="82" t="s">
        <v>6</v>
      </c>
      <c r="C43" s="82"/>
      <c r="D43" s="84"/>
      <c r="E43" s="83"/>
      <c r="F43" s="83"/>
      <c r="G43" s="85"/>
      <c r="H43" s="84"/>
      <c r="I43" s="82"/>
      <c r="J43" s="82"/>
      <c r="K43" s="82"/>
      <c r="L43" s="82"/>
      <c r="M43" s="82"/>
      <c r="N43" s="82"/>
      <c r="O43" s="82"/>
      <c r="P43" s="87"/>
      <c r="Q43" s="87"/>
      <c r="R43" s="84"/>
      <c r="S43" s="82"/>
      <c r="T43" s="82"/>
      <c r="U43" s="82"/>
      <c r="V43" s="82"/>
      <c r="W43" s="84"/>
      <c r="X43" s="82"/>
      <c r="Y43" s="82"/>
      <c r="Z43" s="82"/>
      <c r="AA43" s="84"/>
      <c r="AB43" s="82"/>
      <c r="AE43" s="82"/>
      <c r="AF43" s="90"/>
      <c r="AG43" s="90"/>
      <c r="AH43" s="90"/>
      <c r="AI43" s="99"/>
      <c r="AJ43" s="99"/>
      <c r="AK43" s="90"/>
      <c r="AL43" s="90"/>
      <c r="AM43" s="82"/>
      <c r="AN43" s="90">
        <f t="shared" si="8"/>
        <v>0</v>
      </c>
      <c r="AO43" s="90">
        <f t="shared" si="29"/>
        <v>1</v>
      </c>
      <c r="AP43" s="90" t="e">
        <f t="shared" si="30"/>
        <v>#VALUE!</v>
      </c>
    </row>
    <row r="44" spans="1:42" s="100" customFormat="1" ht="12" x14ac:dyDescent="0.2">
      <c r="A44" s="104">
        <f>SUBTOTAL(3,B$9:$B44)</f>
        <v>36</v>
      </c>
      <c r="B44" s="101" t="s">
        <v>6</v>
      </c>
      <c r="C44" s="109" t="s">
        <v>216</v>
      </c>
      <c r="D44" s="106" t="s">
        <v>136</v>
      </c>
      <c r="E44" s="115" t="s">
        <v>200</v>
      </c>
      <c r="F44" s="121" t="s">
        <v>184</v>
      </c>
      <c r="G44" s="101"/>
      <c r="H44" s="102" t="s">
        <v>129</v>
      </c>
      <c r="I44" s="116" t="s">
        <v>118</v>
      </c>
      <c r="J44" s="123">
        <v>90</v>
      </c>
      <c r="K44" s="101">
        <v>0</v>
      </c>
      <c r="L44" s="108" t="s">
        <v>74</v>
      </c>
      <c r="M44" s="101"/>
      <c r="N44" s="118"/>
      <c r="O44" s="101" t="s">
        <v>33</v>
      </c>
      <c r="P44" s="87"/>
      <c r="Q44" s="105">
        <v>17</v>
      </c>
      <c r="R44" s="102" t="s">
        <v>207</v>
      </c>
      <c r="S44" s="101"/>
      <c r="T44" s="82"/>
      <c r="U44" s="82"/>
      <c r="V44" s="82"/>
      <c r="W44" s="84"/>
      <c r="X44" s="82"/>
      <c r="Y44" s="82"/>
      <c r="Z44" s="101"/>
      <c r="AA44" s="84"/>
      <c r="AB44" s="101"/>
      <c r="AE44" s="116" t="s">
        <v>185</v>
      </c>
      <c r="AF44" s="119" t="str">
        <f>MID(AE44,FIND("(",AE44)+1,1)</f>
        <v>2</v>
      </c>
      <c r="AG44" s="119" t="str">
        <f>MID(AE44,FIND("(",AE44)+3,1)</f>
        <v>2</v>
      </c>
      <c r="AH44" s="119">
        <f t="shared" ref="AH44:AH56" si="31">AF44*2+AG44</f>
        <v>6</v>
      </c>
      <c r="AI44" s="120">
        <f>FIND(")",AE44)</f>
        <v>7</v>
      </c>
      <c r="AJ44" s="120">
        <f>FIND(",)",AE44)</f>
        <v>6</v>
      </c>
      <c r="AK44" s="119" t="str">
        <f>LEFT(AE44,AJ44)</f>
        <v>4(2,2,</v>
      </c>
      <c r="AL44" s="119" t="str">
        <f t="shared" si="28"/>
        <v>4(2,2,6)</v>
      </c>
      <c r="AM44" s="119" t="s">
        <v>185</v>
      </c>
      <c r="AN44" s="119" t="str">
        <f t="shared" si="8"/>
        <v>4(2,2,6)</v>
      </c>
      <c r="AO44" s="119">
        <f t="shared" si="29"/>
        <v>1</v>
      </c>
      <c r="AP44" s="119">
        <f t="shared" si="30"/>
        <v>7</v>
      </c>
    </row>
    <row r="45" spans="1:42" s="100" customFormat="1" ht="24" x14ac:dyDescent="0.2">
      <c r="A45" s="104">
        <f>SUBTOTAL(3,B$9:$B45)</f>
        <v>37</v>
      </c>
      <c r="B45" s="101" t="s">
        <v>6</v>
      </c>
      <c r="C45" s="109" t="s">
        <v>216</v>
      </c>
      <c r="D45" s="106" t="s">
        <v>136</v>
      </c>
      <c r="E45" s="115" t="s">
        <v>147</v>
      </c>
      <c r="F45" s="121" t="s">
        <v>186</v>
      </c>
      <c r="G45" s="101"/>
      <c r="H45" s="110" t="s">
        <v>129</v>
      </c>
      <c r="I45" s="116" t="s">
        <v>112</v>
      </c>
      <c r="J45" s="123">
        <v>75</v>
      </c>
      <c r="K45" s="101">
        <v>0</v>
      </c>
      <c r="L45" s="108" t="s">
        <v>74</v>
      </c>
      <c r="M45" s="101"/>
      <c r="N45" s="118"/>
      <c r="O45" s="101" t="s">
        <v>33</v>
      </c>
      <c r="P45" s="87"/>
      <c r="Q45" s="105"/>
      <c r="R45" s="102"/>
      <c r="S45" s="101"/>
      <c r="T45" s="82"/>
      <c r="U45" s="82"/>
      <c r="V45" s="82"/>
      <c r="W45" s="84"/>
      <c r="X45" s="82"/>
      <c r="Y45" s="82"/>
      <c r="Z45" s="101"/>
      <c r="AA45" s="84"/>
      <c r="AB45" s="101"/>
      <c r="AE45" s="116" t="s">
        <v>173</v>
      </c>
      <c r="AF45" s="119" t="str">
        <f>MID(AE45,FIND("(",AE45)+1,1)</f>
        <v>3</v>
      </c>
      <c r="AG45" s="119" t="str">
        <f>MID(AE45,FIND("(",AE45)+3,1)</f>
        <v>1</v>
      </c>
      <c r="AH45" s="119">
        <f t="shared" si="31"/>
        <v>7</v>
      </c>
      <c r="AI45" s="120">
        <f>FIND(")",AE45)</f>
        <v>7</v>
      </c>
      <c r="AJ45" s="120">
        <f>FIND(",)",AE45)</f>
        <v>6</v>
      </c>
      <c r="AK45" s="119" t="str">
        <f>LEFT(AE45,AJ45)</f>
        <v>4(3,1,</v>
      </c>
      <c r="AL45" s="119" t="str">
        <f t="shared" si="28"/>
        <v>4(3,1,7)</v>
      </c>
      <c r="AM45" s="119" t="s">
        <v>173</v>
      </c>
      <c r="AN45" s="119" t="str">
        <f t="shared" si="8"/>
        <v>4(3,1,7)</v>
      </c>
      <c r="AO45" s="119">
        <f t="shared" si="29"/>
        <v>1</v>
      </c>
      <c r="AP45" s="119">
        <f t="shared" si="30"/>
        <v>7</v>
      </c>
    </row>
    <row r="46" spans="1:42" s="100" customFormat="1" ht="24" x14ac:dyDescent="0.2">
      <c r="A46" s="104">
        <f>SUBTOTAL(3,B$9:$B46)</f>
        <v>38</v>
      </c>
      <c r="B46" s="101" t="s">
        <v>6</v>
      </c>
      <c r="C46" s="109" t="s">
        <v>216</v>
      </c>
      <c r="D46" s="106" t="s">
        <v>136</v>
      </c>
      <c r="E46" s="115" t="s">
        <v>146</v>
      </c>
      <c r="F46" s="121" t="s">
        <v>187</v>
      </c>
      <c r="G46" s="101"/>
      <c r="H46" s="110" t="s">
        <v>129</v>
      </c>
      <c r="I46" s="116" t="s">
        <v>111</v>
      </c>
      <c r="J46" s="123">
        <v>60</v>
      </c>
      <c r="K46" s="101">
        <v>0</v>
      </c>
      <c r="L46" s="108" t="s">
        <v>74</v>
      </c>
      <c r="M46" s="101"/>
      <c r="N46" s="118"/>
      <c r="O46" s="101" t="s">
        <v>33</v>
      </c>
      <c r="P46" s="87"/>
      <c r="Q46" s="105"/>
      <c r="R46" s="102"/>
      <c r="S46" s="101"/>
      <c r="T46" s="82"/>
      <c r="U46" s="82"/>
      <c r="V46" s="82"/>
      <c r="W46" s="84"/>
      <c r="X46" s="82"/>
      <c r="Y46" s="82"/>
      <c r="Z46" s="101"/>
      <c r="AA46" s="84"/>
      <c r="AB46" s="101"/>
      <c r="AE46" s="116" t="s">
        <v>177</v>
      </c>
      <c r="AF46" s="119" t="str">
        <f>MID(AE46,FIND("(",AE46)+1,1)</f>
        <v>2</v>
      </c>
      <c r="AG46" s="119" t="str">
        <f>MID(AE46,FIND("(",AE46)+3,1)</f>
        <v>1</v>
      </c>
      <c r="AH46" s="119">
        <f t="shared" si="31"/>
        <v>5</v>
      </c>
      <c r="AI46" s="120">
        <f>FIND(")",AE46)</f>
        <v>7</v>
      </c>
      <c r="AJ46" s="120">
        <f>FIND(",)",AE46)</f>
        <v>6</v>
      </c>
      <c r="AK46" s="119" t="str">
        <f>LEFT(AE46,AJ46)</f>
        <v>3(2,1,</v>
      </c>
      <c r="AL46" s="119" t="str">
        <f t="shared" ref="AL46:AL109" si="32">AK46&amp;AH46&amp;")"</f>
        <v>3(2,1,5)</v>
      </c>
      <c r="AM46" s="119" t="s">
        <v>177</v>
      </c>
      <c r="AN46" s="119" t="str">
        <f t="shared" si="8"/>
        <v>3(2,1,5)</v>
      </c>
      <c r="AO46" s="119">
        <f t="shared" si="29"/>
        <v>1</v>
      </c>
      <c r="AP46" s="119">
        <f t="shared" si="30"/>
        <v>7</v>
      </c>
    </row>
    <row r="47" spans="1:42" s="100" customFormat="1" ht="12" x14ac:dyDescent="0.2">
      <c r="A47" s="104">
        <f>SUBTOTAL(3,B$9:$B47)</f>
        <v>39</v>
      </c>
      <c r="B47" s="111" t="s">
        <v>6</v>
      </c>
      <c r="C47" s="109" t="s">
        <v>216</v>
      </c>
      <c r="D47" s="106" t="s">
        <v>136</v>
      </c>
      <c r="E47" s="115" t="s">
        <v>145</v>
      </c>
      <c r="F47" s="121" t="s">
        <v>188</v>
      </c>
      <c r="G47" s="101"/>
      <c r="H47" s="110" t="s">
        <v>129</v>
      </c>
      <c r="I47" s="116" t="s">
        <v>113</v>
      </c>
      <c r="J47" s="123">
        <v>75</v>
      </c>
      <c r="K47" s="101">
        <v>0</v>
      </c>
      <c r="L47" s="108" t="s">
        <v>74</v>
      </c>
      <c r="M47" s="101"/>
      <c r="N47" s="118"/>
      <c r="O47" s="101" t="s">
        <v>33</v>
      </c>
      <c r="P47" s="87"/>
      <c r="Q47" s="105"/>
      <c r="R47" s="102"/>
      <c r="S47" s="101"/>
      <c r="T47" s="82"/>
      <c r="U47" s="82"/>
      <c r="V47" s="82"/>
      <c r="W47" s="84"/>
      <c r="X47" s="82"/>
      <c r="Y47" s="82"/>
      <c r="Z47" s="101"/>
      <c r="AA47" s="84"/>
      <c r="AB47" s="101"/>
      <c r="AE47" s="116" t="s">
        <v>162</v>
      </c>
      <c r="AF47" s="119" t="str">
        <f>MID(AE47,FIND("(",AE47)+1,1)</f>
        <v>1</v>
      </c>
      <c r="AG47" s="119" t="str">
        <f>MID(AE47,FIND("(",AE47)+3,1)</f>
        <v>2</v>
      </c>
      <c r="AH47" s="119">
        <f t="shared" si="31"/>
        <v>4</v>
      </c>
      <c r="AI47" s="120">
        <f>FIND(")",AE47)</f>
        <v>7</v>
      </c>
      <c r="AJ47" s="120">
        <f>FIND(",)",AE47)</f>
        <v>6</v>
      </c>
      <c r="AK47" s="119" t="str">
        <f>LEFT(AE47,AJ47)</f>
        <v>3(1,2,</v>
      </c>
      <c r="AL47" s="119" t="str">
        <f t="shared" si="32"/>
        <v>3(1,2,4)</v>
      </c>
      <c r="AM47" s="119" t="s">
        <v>162</v>
      </c>
      <c r="AN47" s="119" t="str">
        <f t="shared" si="8"/>
        <v>3(1,2,4)</v>
      </c>
      <c r="AO47" s="119">
        <f t="shared" si="29"/>
        <v>1</v>
      </c>
      <c r="AP47" s="119">
        <f t="shared" si="30"/>
        <v>7</v>
      </c>
    </row>
    <row r="48" spans="1:42" s="100" customFormat="1" ht="24" x14ac:dyDescent="0.2">
      <c r="A48" s="104">
        <f>SUBTOTAL(3,B$9:$B48)</f>
        <v>40</v>
      </c>
      <c r="B48" s="111" t="s">
        <v>6</v>
      </c>
      <c r="C48" s="109" t="s">
        <v>216</v>
      </c>
      <c r="D48" s="106" t="s">
        <v>136</v>
      </c>
      <c r="E48" s="115" t="s">
        <v>201</v>
      </c>
      <c r="F48" s="121" t="s">
        <v>189</v>
      </c>
      <c r="G48" s="101"/>
      <c r="H48" s="110" t="s">
        <v>129</v>
      </c>
      <c r="I48" s="116" t="s">
        <v>113</v>
      </c>
      <c r="J48" s="123">
        <v>75</v>
      </c>
      <c r="K48" s="101">
        <v>0</v>
      </c>
      <c r="L48" s="108" t="s">
        <v>74</v>
      </c>
      <c r="M48" s="101"/>
      <c r="N48" s="118"/>
      <c r="O48" s="101" t="s">
        <v>33</v>
      </c>
      <c r="P48" s="87"/>
      <c r="Q48" s="105"/>
      <c r="R48" s="102"/>
      <c r="S48" s="101"/>
      <c r="T48" s="82"/>
      <c r="U48" s="82"/>
      <c r="V48" s="82"/>
      <c r="W48" s="84"/>
      <c r="X48" s="82"/>
      <c r="Y48" s="82"/>
      <c r="Z48" s="101"/>
      <c r="AA48" s="84"/>
      <c r="AB48" s="101"/>
      <c r="AE48" s="116" t="s">
        <v>162</v>
      </c>
      <c r="AF48" s="119" t="str">
        <f>MID(AE48,FIND("(",AE48)+1,1)</f>
        <v>1</v>
      </c>
      <c r="AG48" s="119" t="str">
        <f>MID(AE48,FIND("(",AE48)+3,1)</f>
        <v>2</v>
      </c>
      <c r="AH48" s="119">
        <f t="shared" si="31"/>
        <v>4</v>
      </c>
      <c r="AI48" s="120">
        <f>FIND(")",AE48)</f>
        <v>7</v>
      </c>
      <c r="AJ48" s="120">
        <f>FIND(",)",AE48)</f>
        <v>6</v>
      </c>
      <c r="AK48" s="119" t="str">
        <f>LEFT(AE48,AJ48)</f>
        <v>3(1,2,</v>
      </c>
      <c r="AL48" s="119" t="str">
        <f t="shared" si="32"/>
        <v>3(1,2,4)</v>
      </c>
      <c r="AM48" s="119" t="s">
        <v>162</v>
      </c>
      <c r="AN48" s="119" t="str">
        <f t="shared" si="8"/>
        <v>3(1,2,4)</v>
      </c>
      <c r="AO48" s="119">
        <f t="shared" si="29"/>
        <v>1</v>
      </c>
      <c r="AP48" s="119">
        <f t="shared" si="30"/>
        <v>7</v>
      </c>
    </row>
    <row r="49" spans="1:42" x14ac:dyDescent="0.2">
      <c r="A49" s="104">
        <f>SUBTOTAL(3,B$9:$B49)</f>
        <v>41</v>
      </c>
      <c r="B49" s="83" t="s">
        <v>6</v>
      </c>
      <c r="C49" s="83"/>
      <c r="D49" s="83"/>
      <c r="E49" s="83"/>
      <c r="F49" s="83"/>
      <c r="G49" s="85"/>
      <c r="H49" s="84"/>
      <c r="I49" s="82"/>
      <c r="J49" s="82"/>
      <c r="K49" s="82"/>
      <c r="L49" s="82"/>
      <c r="M49" s="82"/>
      <c r="N49" s="82"/>
      <c r="O49" s="82"/>
      <c r="P49" s="87"/>
      <c r="Q49" s="87"/>
      <c r="R49" s="84"/>
      <c r="S49" s="82"/>
      <c r="T49" s="82"/>
      <c r="U49" s="82"/>
      <c r="V49" s="82"/>
      <c r="W49" s="84"/>
      <c r="X49" s="82"/>
      <c r="Y49" s="82"/>
      <c r="Z49" s="82"/>
      <c r="AA49" s="84"/>
      <c r="AB49" s="82"/>
      <c r="AE49" s="82"/>
      <c r="AF49" s="90"/>
      <c r="AG49" s="90"/>
      <c r="AH49" s="90"/>
      <c r="AI49" s="99"/>
      <c r="AJ49" s="99"/>
      <c r="AK49" s="90"/>
      <c r="AL49" s="90"/>
      <c r="AM49" s="82"/>
      <c r="AN49" s="90">
        <f t="shared" si="8"/>
        <v>0</v>
      </c>
      <c r="AO49" s="90">
        <f t="shared" si="29"/>
        <v>1</v>
      </c>
      <c r="AP49" s="90" t="e">
        <f t="shared" si="30"/>
        <v>#VALUE!</v>
      </c>
    </row>
    <row r="50" spans="1:42" s="100" customFormat="1" ht="12" x14ac:dyDescent="0.2">
      <c r="A50" s="104">
        <f>SUBTOTAL(3,B$9:$B50)</f>
        <v>42</v>
      </c>
      <c r="B50" s="111" t="s">
        <v>6</v>
      </c>
      <c r="C50" s="109" t="s">
        <v>166</v>
      </c>
      <c r="D50" s="106" t="s">
        <v>166</v>
      </c>
      <c r="E50" s="115" t="s">
        <v>190</v>
      </c>
      <c r="F50" s="121" t="s">
        <v>191</v>
      </c>
      <c r="G50" s="101"/>
      <c r="H50" s="110" t="s">
        <v>129</v>
      </c>
      <c r="I50" s="116" t="s">
        <v>111</v>
      </c>
      <c r="J50" s="123">
        <v>0</v>
      </c>
      <c r="K50" s="123">
        <v>60</v>
      </c>
      <c r="L50" s="101"/>
      <c r="M50" s="108" t="s">
        <v>74</v>
      </c>
      <c r="N50" s="101"/>
      <c r="O50" s="101" t="s">
        <v>33</v>
      </c>
      <c r="P50" s="87"/>
      <c r="Q50" s="105">
        <v>17</v>
      </c>
      <c r="R50" s="102" t="s">
        <v>208</v>
      </c>
      <c r="S50" s="101"/>
      <c r="T50" s="82"/>
      <c r="U50" s="82"/>
      <c r="V50" s="82"/>
      <c r="W50" s="84"/>
      <c r="X50" s="82"/>
      <c r="Y50" s="82"/>
      <c r="Z50" s="101"/>
      <c r="AA50" s="84"/>
      <c r="AB50" s="101"/>
      <c r="AE50" s="116" t="s">
        <v>177</v>
      </c>
      <c r="AF50" s="119" t="str">
        <f t="shared" ref="AF50:AF56" si="33">MID(AE50,FIND("(",AE50)+1,1)</f>
        <v>2</v>
      </c>
      <c r="AG50" s="119" t="str">
        <f t="shared" ref="AG50:AG56" si="34">MID(AE50,FIND("(",AE50)+3,1)</f>
        <v>1</v>
      </c>
      <c r="AH50" s="119">
        <f t="shared" si="31"/>
        <v>5</v>
      </c>
      <c r="AI50" s="120">
        <f t="shared" ref="AI50:AI56" si="35">FIND(")",AE50)</f>
        <v>7</v>
      </c>
      <c r="AJ50" s="120">
        <f t="shared" ref="AJ50:AJ56" si="36">FIND(",)",AE50)</f>
        <v>6</v>
      </c>
      <c r="AK50" s="119" t="str">
        <f t="shared" ref="AK50:AK56" si="37">LEFT(AE50,AJ50)</f>
        <v>3(2,1,</v>
      </c>
      <c r="AL50" s="119" t="str">
        <f t="shared" si="32"/>
        <v>3(2,1,5)</v>
      </c>
      <c r="AM50" s="119" t="s">
        <v>177</v>
      </c>
      <c r="AN50" s="119" t="str">
        <f t="shared" si="8"/>
        <v>3(2,1,5)</v>
      </c>
      <c r="AO50" s="119">
        <f t="shared" si="29"/>
        <v>1</v>
      </c>
      <c r="AP50" s="119">
        <f t="shared" si="30"/>
        <v>7</v>
      </c>
    </row>
    <row r="51" spans="1:42" s="100" customFormat="1" ht="24" x14ac:dyDescent="0.2">
      <c r="A51" s="104">
        <f>SUBTOTAL(3,B$9:$B51)</f>
        <v>43</v>
      </c>
      <c r="B51" s="111" t="s">
        <v>6</v>
      </c>
      <c r="C51" s="109" t="s">
        <v>166</v>
      </c>
      <c r="D51" s="106" t="s">
        <v>166</v>
      </c>
      <c r="E51" s="115" t="s">
        <v>192</v>
      </c>
      <c r="F51" s="121" t="s">
        <v>193</v>
      </c>
      <c r="G51" s="101"/>
      <c r="H51" s="110" t="s">
        <v>129</v>
      </c>
      <c r="I51" s="116" t="s">
        <v>120</v>
      </c>
      <c r="J51" s="123">
        <v>0</v>
      </c>
      <c r="K51" s="123">
        <v>90</v>
      </c>
      <c r="L51" s="101"/>
      <c r="M51" s="101"/>
      <c r="N51" s="101" t="s">
        <v>74</v>
      </c>
      <c r="O51" s="101" t="s">
        <v>33</v>
      </c>
      <c r="P51" s="87"/>
      <c r="Q51" s="105"/>
      <c r="R51" s="102"/>
      <c r="S51" s="101"/>
      <c r="T51" s="82"/>
      <c r="U51" s="82"/>
      <c r="V51" s="82"/>
      <c r="W51" s="84"/>
      <c r="X51" s="82"/>
      <c r="Y51" s="82"/>
      <c r="Z51" s="101"/>
      <c r="AA51" s="84"/>
      <c r="AB51" s="101"/>
      <c r="AE51" s="116" t="s">
        <v>163</v>
      </c>
      <c r="AF51" s="119" t="str">
        <f t="shared" si="33"/>
        <v>0</v>
      </c>
      <c r="AG51" s="119" t="str">
        <f t="shared" si="34"/>
        <v>2</v>
      </c>
      <c r="AH51" s="119">
        <f t="shared" si="31"/>
        <v>2</v>
      </c>
      <c r="AI51" s="120">
        <f t="shared" si="35"/>
        <v>7</v>
      </c>
      <c r="AJ51" s="120">
        <f t="shared" si="36"/>
        <v>6</v>
      </c>
      <c r="AK51" s="119" t="str">
        <f t="shared" si="37"/>
        <v>2(0,2,</v>
      </c>
      <c r="AL51" s="119" t="str">
        <f t="shared" si="32"/>
        <v>2(0,2,2)</v>
      </c>
      <c r="AM51" s="119" t="s">
        <v>163</v>
      </c>
      <c r="AN51" s="119" t="str">
        <f t="shared" si="8"/>
        <v>2(0,2,2)</v>
      </c>
      <c r="AO51" s="119">
        <f t="shared" si="29"/>
        <v>1</v>
      </c>
      <c r="AP51" s="119">
        <f t="shared" si="30"/>
        <v>7</v>
      </c>
    </row>
    <row r="52" spans="1:42" s="100" customFormat="1" ht="12" x14ac:dyDescent="0.2">
      <c r="A52" s="104">
        <f>SUBTOTAL(3,B$9:$B52)</f>
        <v>44</v>
      </c>
      <c r="B52" s="111" t="s">
        <v>6</v>
      </c>
      <c r="C52" s="109" t="s">
        <v>166</v>
      </c>
      <c r="D52" s="106" t="s">
        <v>166</v>
      </c>
      <c r="E52" s="115" t="s">
        <v>202</v>
      </c>
      <c r="F52" s="121" t="s">
        <v>194</v>
      </c>
      <c r="G52" s="101"/>
      <c r="H52" s="110" t="s">
        <v>129</v>
      </c>
      <c r="I52" s="116" t="s">
        <v>110</v>
      </c>
      <c r="J52" s="123">
        <v>45</v>
      </c>
      <c r="K52" s="123">
        <v>0</v>
      </c>
      <c r="L52" s="108" t="s">
        <v>74</v>
      </c>
      <c r="M52" s="101"/>
      <c r="N52" s="101"/>
      <c r="O52" s="101" t="s">
        <v>33</v>
      </c>
      <c r="P52" s="87"/>
      <c r="Q52" s="105"/>
      <c r="R52" s="102"/>
      <c r="S52" s="101"/>
      <c r="T52" s="82"/>
      <c r="U52" s="82"/>
      <c r="V52" s="82"/>
      <c r="W52" s="84"/>
      <c r="X52" s="82"/>
      <c r="Y52" s="82"/>
      <c r="Z52" s="101"/>
      <c r="AA52" s="84"/>
      <c r="AB52" s="101"/>
      <c r="AE52" s="116" t="s">
        <v>195</v>
      </c>
      <c r="AF52" s="119" t="str">
        <f t="shared" si="33"/>
        <v>1</v>
      </c>
      <c r="AG52" s="119" t="str">
        <f t="shared" si="34"/>
        <v>1</v>
      </c>
      <c r="AH52" s="119">
        <f t="shared" si="31"/>
        <v>3</v>
      </c>
      <c r="AI52" s="120">
        <f t="shared" si="35"/>
        <v>7</v>
      </c>
      <c r="AJ52" s="120">
        <f t="shared" si="36"/>
        <v>6</v>
      </c>
      <c r="AK52" s="119" t="str">
        <f t="shared" si="37"/>
        <v>2(1,1,</v>
      </c>
      <c r="AL52" s="119" t="str">
        <f t="shared" si="32"/>
        <v>2(1,1,3)</v>
      </c>
      <c r="AM52" s="119" t="s">
        <v>195</v>
      </c>
      <c r="AN52" s="119" t="str">
        <f t="shared" si="8"/>
        <v>2(1,1,3)</v>
      </c>
      <c r="AO52" s="119">
        <f t="shared" si="29"/>
        <v>1</v>
      </c>
      <c r="AP52" s="119">
        <f t="shared" si="30"/>
        <v>7</v>
      </c>
    </row>
    <row r="53" spans="1:42" s="100" customFormat="1" ht="12" x14ac:dyDescent="0.2">
      <c r="A53" s="104">
        <f>SUBTOTAL(3,B$9:$B53)</f>
        <v>45</v>
      </c>
      <c r="B53" s="111" t="s">
        <v>6</v>
      </c>
      <c r="C53" s="109" t="s">
        <v>166</v>
      </c>
      <c r="D53" s="106" t="s">
        <v>166</v>
      </c>
      <c r="E53" s="115" t="s">
        <v>145</v>
      </c>
      <c r="F53" s="121" t="s">
        <v>196</v>
      </c>
      <c r="G53" s="101"/>
      <c r="H53" s="110" t="s">
        <v>129</v>
      </c>
      <c r="I53" s="116" t="s">
        <v>111</v>
      </c>
      <c r="J53" s="123">
        <v>60</v>
      </c>
      <c r="K53" s="123">
        <v>0</v>
      </c>
      <c r="L53" s="108" t="s">
        <v>74</v>
      </c>
      <c r="M53" s="101"/>
      <c r="N53" s="101"/>
      <c r="O53" s="101" t="s">
        <v>33</v>
      </c>
      <c r="P53" s="87"/>
      <c r="Q53" s="105"/>
      <c r="R53" s="102"/>
      <c r="S53" s="101"/>
      <c r="T53" s="82"/>
      <c r="U53" s="82"/>
      <c r="V53" s="82"/>
      <c r="W53" s="84"/>
      <c r="X53" s="82"/>
      <c r="Y53" s="82"/>
      <c r="Z53" s="101"/>
      <c r="AA53" s="84"/>
      <c r="AB53" s="101"/>
      <c r="AE53" s="116" t="s">
        <v>177</v>
      </c>
      <c r="AF53" s="119" t="str">
        <f t="shared" si="33"/>
        <v>2</v>
      </c>
      <c r="AG53" s="119" t="str">
        <f t="shared" si="34"/>
        <v>1</v>
      </c>
      <c r="AH53" s="119">
        <f t="shared" si="31"/>
        <v>5</v>
      </c>
      <c r="AI53" s="120">
        <f t="shared" si="35"/>
        <v>7</v>
      </c>
      <c r="AJ53" s="120">
        <f t="shared" si="36"/>
        <v>6</v>
      </c>
      <c r="AK53" s="119" t="str">
        <f t="shared" si="37"/>
        <v>3(2,1,</v>
      </c>
      <c r="AL53" s="119" t="str">
        <f t="shared" si="32"/>
        <v>3(2,1,5)</v>
      </c>
      <c r="AM53" s="119" t="s">
        <v>177</v>
      </c>
      <c r="AN53" s="119" t="str">
        <f t="shared" si="8"/>
        <v>3(2,1,5)</v>
      </c>
      <c r="AO53" s="119">
        <f t="shared" si="29"/>
        <v>1</v>
      </c>
      <c r="AP53" s="119">
        <f t="shared" si="30"/>
        <v>7</v>
      </c>
    </row>
    <row r="54" spans="1:42" s="100" customFormat="1" ht="12" x14ac:dyDescent="0.2">
      <c r="A54" s="104">
        <f>SUBTOTAL(3,B$9:$B54)</f>
        <v>46</v>
      </c>
      <c r="B54" s="101" t="s">
        <v>6</v>
      </c>
      <c r="C54" s="109" t="s">
        <v>166</v>
      </c>
      <c r="D54" s="106" t="s">
        <v>166</v>
      </c>
      <c r="E54" s="115" t="s">
        <v>203</v>
      </c>
      <c r="F54" s="121" t="s">
        <v>197</v>
      </c>
      <c r="G54" s="101"/>
      <c r="H54" s="110" t="s">
        <v>129</v>
      </c>
      <c r="I54" s="116" t="s">
        <v>111</v>
      </c>
      <c r="J54" s="123">
        <v>60</v>
      </c>
      <c r="K54" s="123">
        <v>0</v>
      </c>
      <c r="L54" s="108" t="s">
        <v>74</v>
      </c>
      <c r="M54" s="101"/>
      <c r="N54" s="101"/>
      <c r="O54" s="101" t="s">
        <v>33</v>
      </c>
      <c r="P54" s="87"/>
      <c r="Q54" s="105"/>
      <c r="R54" s="102"/>
      <c r="S54" s="101"/>
      <c r="T54" s="82"/>
      <c r="U54" s="82"/>
      <c r="V54" s="82"/>
      <c r="W54" s="84"/>
      <c r="X54" s="82"/>
      <c r="Y54" s="82"/>
      <c r="Z54" s="101"/>
      <c r="AA54" s="84"/>
      <c r="AB54" s="101"/>
      <c r="AE54" s="116" t="s">
        <v>177</v>
      </c>
      <c r="AF54" s="119" t="str">
        <f t="shared" si="33"/>
        <v>2</v>
      </c>
      <c r="AG54" s="119" t="str">
        <f t="shared" si="34"/>
        <v>1</v>
      </c>
      <c r="AH54" s="119">
        <f t="shared" si="31"/>
        <v>5</v>
      </c>
      <c r="AI54" s="120">
        <f t="shared" si="35"/>
        <v>7</v>
      </c>
      <c r="AJ54" s="120">
        <f t="shared" si="36"/>
        <v>6</v>
      </c>
      <c r="AK54" s="119" t="str">
        <f t="shared" si="37"/>
        <v>3(2,1,</v>
      </c>
      <c r="AL54" s="119" t="str">
        <f t="shared" si="32"/>
        <v>3(2,1,5)</v>
      </c>
      <c r="AM54" s="119" t="s">
        <v>177</v>
      </c>
      <c r="AN54" s="119" t="str">
        <f t="shared" si="8"/>
        <v>3(2,1,5)</v>
      </c>
      <c r="AO54" s="119">
        <f t="shared" si="29"/>
        <v>1</v>
      </c>
      <c r="AP54" s="119">
        <f t="shared" si="30"/>
        <v>7</v>
      </c>
    </row>
    <row r="55" spans="1:42" s="100" customFormat="1" ht="12" x14ac:dyDescent="0.2">
      <c r="A55" s="104">
        <f>SUBTOTAL(3,B$9:$B55)</f>
        <v>47</v>
      </c>
      <c r="B55" s="101" t="s">
        <v>6</v>
      </c>
      <c r="C55" s="109" t="s">
        <v>166</v>
      </c>
      <c r="D55" s="106" t="s">
        <v>166</v>
      </c>
      <c r="E55" s="115" t="s">
        <v>204</v>
      </c>
      <c r="F55" s="121" t="s">
        <v>198</v>
      </c>
      <c r="G55" s="101"/>
      <c r="H55" s="110" t="s">
        <v>129</v>
      </c>
      <c r="I55" s="116" t="s">
        <v>118</v>
      </c>
      <c r="J55" s="123">
        <v>90</v>
      </c>
      <c r="K55" s="123">
        <v>0</v>
      </c>
      <c r="L55" s="108" t="s">
        <v>74</v>
      </c>
      <c r="M55" s="101"/>
      <c r="N55" s="101"/>
      <c r="O55" s="101" t="s">
        <v>33</v>
      </c>
      <c r="P55" s="87"/>
      <c r="Q55" s="105"/>
      <c r="R55" s="102"/>
      <c r="S55" s="101"/>
      <c r="T55" s="82"/>
      <c r="U55" s="82"/>
      <c r="V55" s="82"/>
      <c r="W55" s="84"/>
      <c r="X55" s="82"/>
      <c r="Y55" s="82"/>
      <c r="Z55" s="101"/>
      <c r="AA55" s="84"/>
      <c r="AB55" s="101"/>
      <c r="AE55" s="116" t="s">
        <v>185</v>
      </c>
      <c r="AF55" s="119" t="str">
        <f t="shared" si="33"/>
        <v>2</v>
      </c>
      <c r="AG55" s="119" t="str">
        <f t="shared" si="34"/>
        <v>2</v>
      </c>
      <c r="AH55" s="119">
        <f t="shared" si="31"/>
        <v>6</v>
      </c>
      <c r="AI55" s="120">
        <f t="shared" si="35"/>
        <v>7</v>
      </c>
      <c r="AJ55" s="120">
        <f t="shared" si="36"/>
        <v>6</v>
      </c>
      <c r="AK55" s="119" t="str">
        <f t="shared" si="37"/>
        <v>4(2,2,</v>
      </c>
      <c r="AL55" s="119" t="str">
        <f t="shared" si="32"/>
        <v>4(2,2,6)</v>
      </c>
      <c r="AM55" s="119" t="s">
        <v>185</v>
      </c>
      <c r="AN55" s="119" t="str">
        <f t="shared" si="8"/>
        <v>4(2,2,6)</v>
      </c>
      <c r="AO55" s="119">
        <f t="shared" si="29"/>
        <v>1</v>
      </c>
      <c r="AP55" s="119">
        <f t="shared" si="30"/>
        <v>7</v>
      </c>
    </row>
    <row r="56" spans="1:42" s="100" customFormat="1" ht="12" x14ac:dyDescent="0.2">
      <c r="A56" s="104">
        <f>SUBTOTAL(3,B$9:$B56)</f>
        <v>48</v>
      </c>
      <c r="B56" s="101" t="s">
        <v>6</v>
      </c>
      <c r="C56" s="109" t="s">
        <v>166</v>
      </c>
      <c r="D56" s="106" t="s">
        <v>166</v>
      </c>
      <c r="E56" s="115" t="s">
        <v>205</v>
      </c>
      <c r="F56" s="121" t="s">
        <v>199</v>
      </c>
      <c r="G56" s="101"/>
      <c r="H56" s="110" t="s">
        <v>129</v>
      </c>
      <c r="I56" s="116" t="s">
        <v>110</v>
      </c>
      <c r="J56" s="123">
        <v>45</v>
      </c>
      <c r="K56" s="123">
        <v>0</v>
      </c>
      <c r="L56" s="108" t="s">
        <v>74</v>
      </c>
      <c r="M56" s="101"/>
      <c r="N56" s="101"/>
      <c r="O56" s="101" t="s">
        <v>33</v>
      </c>
      <c r="P56" s="87"/>
      <c r="Q56" s="105"/>
      <c r="R56" s="102"/>
      <c r="S56" s="101"/>
      <c r="T56" s="82"/>
      <c r="U56" s="82"/>
      <c r="V56" s="82"/>
      <c r="W56" s="84"/>
      <c r="X56" s="82"/>
      <c r="Y56" s="82"/>
      <c r="Z56" s="101"/>
      <c r="AA56" s="84"/>
      <c r="AB56" s="101"/>
      <c r="AE56" s="116" t="s">
        <v>195</v>
      </c>
      <c r="AF56" s="119" t="str">
        <f t="shared" si="33"/>
        <v>1</v>
      </c>
      <c r="AG56" s="119" t="str">
        <f t="shared" si="34"/>
        <v>1</v>
      </c>
      <c r="AH56" s="119">
        <f t="shared" si="31"/>
        <v>3</v>
      </c>
      <c r="AI56" s="120">
        <f t="shared" si="35"/>
        <v>7</v>
      </c>
      <c r="AJ56" s="120">
        <f t="shared" si="36"/>
        <v>6</v>
      </c>
      <c r="AK56" s="119" t="str">
        <f t="shared" si="37"/>
        <v>2(1,1,</v>
      </c>
      <c r="AL56" s="119" t="str">
        <f t="shared" si="32"/>
        <v>2(1,1,3)</v>
      </c>
      <c r="AM56" s="119" t="s">
        <v>195</v>
      </c>
      <c r="AN56" s="119" t="str">
        <f t="shared" si="8"/>
        <v>2(1,1,3)</v>
      </c>
      <c r="AO56" s="119">
        <f t="shared" si="29"/>
        <v>1</v>
      </c>
      <c r="AP56" s="119">
        <f t="shared" si="30"/>
        <v>7</v>
      </c>
    </row>
    <row r="57" spans="1:42" x14ac:dyDescent="0.2">
      <c r="A57" s="104">
        <f>SUBTOTAL(3,B$9:$B57)</f>
        <v>49</v>
      </c>
      <c r="B57" s="82" t="s">
        <v>6</v>
      </c>
      <c r="C57" s="82"/>
      <c r="D57" s="84"/>
      <c r="E57" s="83"/>
      <c r="F57" s="83"/>
      <c r="G57" s="85"/>
      <c r="H57" s="84"/>
      <c r="I57" s="82"/>
      <c r="J57" s="82"/>
      <c r="K57" s="82"/>
      <c r="L57" s="82"/>
      <c r="M57" s="82"/>
      <c r="N57" s="82"/>
      <c r="O57" s="82"/>
      <c r="P57" s="87"/>
      <c r="Q57" s="87"/>
      <c r="R57" s="84"/>
      <c r="S57" s="82"/>
      <c r="T57" s="82"/>
      <c r="U57" s="82"/>
      <c r="V57" s="82"/>
      <c r="W57" s="84"/>
      <c r="X57" s="82"/>
      <c r="Y57" s="82"/>
      <c r="Z57" s="82"/>
      <c r="AA57" s="84"/>
      <c r="AB57" s="82"/>
      <c r="AE57" s="82"/>
      <c r="AF57" s="90"/>
      <c r="AG57" s="90"/>
      <c r="AH57" s="90"/>
      <c r="AI57" s="99"/>
      <c r="AJ57" s="99"/>
      <c r="AK57" s="90"/>
      <c r="AL57" s="90"/>
      <c r="AM57" s="82"/>
      <c r="AN57" s="90">
        <f t="shared" si="8"/>
        <v>0</v>
      </c>
      <c r="AO57" s="90">
        <f t="shared" si="29"/>
        <v>1</v>
      </c>
      <c r="AP57" s="90" t="e">
        <f t="shared" si="30"/>
        <v>#VALUE!</v>
      </c>
    </row>
    <row r="58" spans="1:42" s="100" customFormat="1" ht="12" x14ac:dyDescent="0.2">
      <c r="A58" s="104">
        <f>SUBTOTAL(3,B$9:$B58)</f>
        <v>50</v>
      </c>
      <c r="B58" s="101" t="s">
        <v>6</v>
      </c>
      <c r="C58" s="112" t="s">
        <v>129</v>
      </c>
      <c r="D58" s="113" t="s">
        <v>149</v>
      </c>
      <c r="E58" s="122" t="s">
        <v>117</v>
      </c>
      <c r="F58" s="121" t="s">
        <v>209</v>
      </c>
      <c r="G58" s="101"/>
      <c r="H58" s="103" t="s">
        <v>129</v>
      </c>
      <c r="I58" s="119" t="s">
        <v>128</v>
      </c>
      <c r="J58" s="123">
        <v>0</v>
      </c>
      <c r="K58" s="123">
        <v>360</v>
      </c>
      <c r="L58" s="117"/>
      <c r="M58" s="117"/>
      <c r="N58" s="125" t="s">
        <v>74</v>
      </c>
      <c r="O58" s="101" t="s">
        <v>33</v>
      </c>
      <c r="P58" s="87"/>
      <c r="Q58" s="105">
        <v>16</v>
      </c>
      <c r="R58" s="102" t="s">
        <v>215</v>
      </c>
      <c r="S58" s="101"/>
      <c r="T58" s="82"/>
      <c r="U58" s="82"/>
      <c r="V58" s="82"/>
      <c r="W58" s="84"/>
      <c r="X58" s="82"/>
      <c r="Y58" s="82"/>
      <c r="Z58" s="101"/>
      <c r="AA58" s="84"/>
      <c r="AB58" s="101"/>
      <c r="AE58" s="119" t="s">
        <v>128</v>
      </c>
      <c r="AF58" s="119" t="str">
        <f t="shared" ref="AF58:AF63" si="38">MID(AE58,FIND("(",AE58)+1,1)</f>
        <v>0</v>
      </c>
      <c r="AG58" s="119" t="str">
        <f t="shared" ref="AG58:AG63" si="39">MID(AE58,FIND("(",AE58)+3,1)</f>
        <v>8</v>
      </c>
      <c r="AH58" s="119">
        <f t="shared" ref="AH58:AH120" si="40">AF58*2+AG58</f>
        <v>8</v>
      </c>
      <c r="AI58" s="120">
        <f t="shared" ref="AI58:AI63" si="41">FIND(")",AE58)</f>
        <v>8</v>
      </c>
      <c r="AJ58" s="120"/>
      <c r="AK58" s="119"/>
      <c r="AL58" s="119"/>
      <c r="AM58" s="116" t="s">
        <v>128</v>
      </c>
      <c r="AN58" s="119" t="str">
        <f t="shared" si="8"/>
        <v>8(0,8,8)</v>
      </c>
      <c r="AO58" s="119">
        <f t="shared" si="29"/>
        <v>1</v>
      </c>
      <c r="AP58" s="119">
        <f t="shared" si="30"/>
        <v>7</v>
      </c>
    </row>
    <row r="59" spans="1:42" s="100" customFormat="1" ht="12" x14ac:dyDescent="0.2">
      <c r="A59" s="104">
        <f>SUBTOTAL(3,B$9:$B59)</f>
        <v>51</v>
      </c>
      <c r="B59" s="101" t="s">
        <v>6</v>
      </c>
      <c r="C59" s="112" t="s">
        <v>129</v>
      </c>
      <c r="D59" s="113" t="s">
        <v>149</v>
      </c>
      <c r="E59" s="122" t="s">
        <v>115</v>
      </c>
      <c r="F59" s="121" t="s">
        <v>210</v>
      </c>
      <c r="G59" s="101"/>
      <c r="H59" s="103" t="s">
        <v>129</v>
      </c>
      <c r="I59" s="119" t="s">
        <v>114</v>
      </c>
      <c r="J59" s="123">
        <v>0</v>
      </c>
      <c r="K59" s="123">
        <v>225</v>
      </c>
      <c r="L59" s="101"/>
      <c r="M59" s="108" t="s">
        <v>74</v>
      </c>
      <c r="N59" s="101"/>
      <c r="O59" s="101" t="s">
        <v>30</v>
      </c>
      <c r="P59" s="87"/>
      <c r="Q59" s="105"/>
      <c r="R59" s="102"/>
      <c r="S59" s="101"/>
      <c r="T59" s="82"/>
      <c r="U59" s="82"/>
      <c r="V59" s="82"/>
      <c r="W59" s="84"/>
      <c r="X59" s="82"/>
      <c r="Y59" s="82"/>
      <c r="Z59" s="101"/>
      <c r="AA59" s="84"/>
      <c r="AB59" s="101"/>
      <c r="AE59" s="119" t="s">
        <v>114</v>
      </c>
      <c r="AF59" s="119" t="str">
        <f t="shared" si="38"/>
        <v>0</v>
      </c>
      <c r="AG59" s="119" t="str">
        <f t="shared" si="39"/>
        <v>5</v>
      </c>
      <c r="AH59" s="119">
        <f t="shared" si="40"/>
        <v>5</v>
      </c>
      <c r="AI59" s="120">
        <f t="shared" si="41"/>
        <v>8</v>
      </c>
      <c r="AJ59" s="120"/>
      <c r="AK59" s="119"/>
      <c r="AL59" s="119"/>
      <c r="AM59" s="116" t="s">
        <v>114</v>
      </c>
      <c r="AN59" s="119" t="str">
        <f t="shared" si="8"/>
        <v>5(0,5,5)</v>
      </c>
      <c r="AO59" s="119">
        <f t="shared" si="29"/>
        <v>1</v>
      </c>
      <c r="AP59" s="119">
        <f t="shared" si="30"/>
        <v>7</v>
      </c>
    </row>
    <row r="60" spans="1:42" s="100" customFormat="1" ht="24" x14ac:dyDescent="0.2">
      <c r="A60" s="104">
        <f>SUBTOTAL(3,B$9:$B60)</f>
        <v>52</v>
      </c>
      <c r="B60" s="101" t="s">
        <v>6</v>
      </c>
      <c r="C60" s="112" t="s">
        <v>129</v>
      </c>
      <c r="D60" s="113" t="s">
        <v>149</v>
      </c>
      <c r="E60" s="122" t="s">
        <v>132</v>
      </c>
      <c r="F60" s="121" t="s">
        <v>211</v>
      </c>
      <c r="G60" s="101"/>
      <c r="H60" s="103" t="s">
        <v>129</v>
      </c>
      <c r="I60" s="119" t="s">
        <v>113</v>
      </c>
      <c r="J60" s="123">
        <v>75</v>
      </c>
      <c r="K60" s="123">
        <v>0</v>
      </c>
      <c r="L60" s="108" t="s">
        <v>74</v>
      </c>
      <c r="M60" s="101"/>
      <c r="N60" s="101"/>
      <c r="O60" s="101" t="s">
        <v>30</v>
      </c>
      <c r="P60" s="87"/>
      <c r="Q60" s="105"/>
      <c r="R60" s="102"/>
      <c r="S60" s="101"/>
      <c r="T60" s="82"/>
      <c r="U60" s="82"/>
      <c r="V60" s="82"/>
      <c r="W60" s="84"/>
      <c r="X60" s="82"/>
      <c r="Y60" s="82"/>
      <c r="Z60" s="101"/>
      <c r="AA60" s="84"/>
      <c r="AB60" s="101"/>
      <c r="AE60" s="119" t="s">
        <v>113</v>
      </c>
      <c r="AF60" s="119" t="str">
        <f t="shared" si="38"/>
        <v>1</v>
      </c>
      <c r="AG60" s="119" t="str">
        <f t="shared" si="39"/>
        <v>2</v>
      </c>
      <c r="AH60" s="119">
        <f t="shared" si="40"/>
        <v>4</v>
      </c>
      <c r="AI60" s="120">
        <f t="shared" si="41"/>
        <v>8</v>
      </c>
      <c r="AJ60" s="120"/>
      <c r="AK60" s="119"/>
      <c r="AL60" s="119"/>
      <c r="AM60" s="116" t="s">
        <v>113</v>
      </c>
      <c r="AN60" s="119" t="str">
        <f t="shared" si="8"/>
        <v>3(1,2,4)</v>
      </c>
      <c r="AO60" s="119">
        <f t="shared" si="29"/>
        <v>1</v>
      </c>
      <c r="AP60" s="119">
        <f t="shared" si="30"/>
        <v>7</v>
      </c>
    </row>
    <row r="61" spans="1:42" s="100" customFormat="1" ht="24" x14ac:dyDescent="0.2">
      <c r="A61" s="104">
        <f>SUBTOTAL(3,B$9:$B61)</f>
        <v>53</v>
      </c>
      <c r="B61" s="101" t="s">
        <v>6</v>
      </c>
      <c r="C61" s="112" t="s">
        <v>129</v>
      </c>
      <c r="D61" s="113" t="s">
        <v>149</v>
      </c>
      <c r="E61" s="122" t="s">
        <v>133</v>
      </c>
      <c r="F61" s="121" t="s">
        <v>212</v>
      </c>
      <c r="G61" s="101"/>
      <c r="H61" s="103" t="s">
        <v>129</v>
      </c>
      <c r="I61" s="119" t="s">
        <v>113</v>
      </c>
      <c r="J61" s="123">
        <v>75</v>
      </c>
      <c r="K61" s="123">
        <v>0</v>
      </c>
      <c r="L61" s="108" t="s">
        <v>74</v>
      </c>
      <c r="M61" s="101"/>
      <c r="N61" s="101"/>
      <c r="O61" s="101" t="s">
        <v>30</v>
      </c>
      <c r="P61" s="87"/>
      <c r="Q61" s="105"/>
      <c r="R61" s="102"/>
      <c r="S61" s="101"/>
      <c r="T61" s="82"/>
      <c r="U61" s="82"/>
      <c r="V61" s="82"/>
      <c r="W61" s="84"/>
      <c r="X61" s="82"/>
      <c r="Y61" s="82"/>
      <c r="Z61" s="101"/>
      <c r="AA61" s="84"/>
      <c r="AB61" s="101"/>
      <c r="AE61" s="119" t="s">
        <v>113</v>
      </c>
      <c r="AF61" s="119" t="str">
        <f t="shared" si="38"/>
        <v>1</v>
      </c>
      <c r="AG61" s="119" t="str">
        <f t="shared" si="39"/>
        <v>2</v>
      </c>
      <c r="AH61" s="119">
        <f t="shared" si="40"/>
        <v>4</v>
      </c>
      <c r="AI61" s="120">
        <f t="shared" si="41"/>
        <v>8</v>
      </c>
      <c r="AJ61" s="120"/>
      <c r="AK61" s="119"/>
      <c r="AL61" s="119"/>
      <c r="AM61" s="116" t="s">
        <v>113</v>
      </c>
      <c r="AN61" s="119" t="str">
        <f t="shared" si="8"/>
        <v>3(1,2,4)</v>
      </c>
      <c r="AO61" s="119">
        <f t="shared" si="29"/>
        <v>1</v>
      </c>
      <c r="AP61" s="119">
        <f t="shared" si="30"/>
        <v>7</v>
      </c>
    </row>
    <row r="62" spans="1:42" s="100" customFormat="1" ht="24" x14ac:dyDescent="0.2">
      <c r="A62" s="104">
        <f>SUBTOTAL(3,B$9:$B62)</f>
        <v>54</v>
      </c>
      <c r="B62" s="101" t="s">
        <v>6</v>
      </c>
      <c r="C62" s="112" t="s">
        <v>129</v>
      </c>
      <c r="D62" s="113" t="s">
        <v>149</v>
      </c>
      <c r="E62" s="122" t="s">
        <v>214</v>
      </c>
      <c r="F62" s="121" t="s">
        <v>213</v>
      </c>
      <c r="G62" s="101"/>
      <c r="H62" s="103" t="s">
        <v>129</v>
      </c>
      <c r="I62" s="119" t="s">
        <v>110</v>
      </c>
      <c r="J62" s="123">
        <v>45</v>
      </c>
      <c r="K62" s="123">
        <v>0</v>
      </c>
      <c r="L62" s="108" t="s">
        <v>74</v>
      </c>
      <c r="M62" s="101"/>
      <c r="N62" s="101"/>
      <c r="O62" s="101" t="s">
        <v>30</v>
      </c>
      <c r="P62" s="87"/>
      <c r="Q62" s="105"/>
      <c r="R62" s="102"/>
      <c r="S62" s="101"/>
      <c r="T62" s="82"/>
      <c r="U62" s="82"/>
      <c r="V62" s="82"/>
      <c r="W62" s="84"/>
      <c r="X62" s="82"/>
      <c r="Y62" s="82"/>
      <c r="Z62" s="101"/>
      <c r="AA62" s="84"/>
      <c r="AB62" s="101"/>
      <c r="AE62" s="119" t="s">
        <v>110</v>
      </c>
      <c r="AF62" s="119" t="str">
        <f t="shared" si="38"/>
        <v>1</v>
      </c>
      <c r="AG62" s="119" t="str">
        <f t="shared" si="39"/>
        <v>1</v>
      </c>
      <c r="AH62" s="119">
        <f t="shared" si="40"/>
        <v>3</v>
      </c>
      <c r="AI62" s="120">
        <f t="shared" si="41"/>
        <v>8</v>
      </c>
      <c r="AJ62" s="120"/>
      <c r="AK62" s="119"/>
      <c r="AL62" s="119"/>
      <c r="AM62" s="116" t="s">
        <v>110</v>
      </c>
      <c r="AN62" s="119" t="str">
        <f t="shared" si="8"/>
        <v>2(1,1,3)</v>
      </c>
      <c r="AO62" s="119">
        <f t="shared" si="29"/>
        <v>1</v>
      </c>
      <c r="AP62" s="119">
        <f t="shared" si="30"/>
        <v>7</v>
      </c>
    </row>
    <row r="63" spans="1:42" s="100" customFormat="1" ht="12" x14ac:dyDescent="0.2">
      <c r="A63" s="104">
        <f>SUBTOTAL(3,B$9:$B63)</f>
        <v>55</v>
      </c>
      <c r="B63" s="101" t="s">
        <v>6</v>
      </c>
      <c r="C63" s="112" t="s">
        <v>129</v>
      </c>
      <c r="D63" s="113" t="s">
        <v>149</v>
      </c>
      <c r="E63" s="122" t="s">
        <v>134</v>
      </c>
      <c r="F63" s="121" t="s">
        <v>135</v>
      </c>
      <c r="G63" s="101"/>
      <c r="H63" s="103" t="s">
        <v>129</v>
      </c>
      <c r="I63" s="119" t="s">
        <v>113</v>
      </c>
      <c r="J63" s="123">
        <v>75</v>
      </c>
      <c r="K63" s="123">
        <v>0</v>
      </c>
      <c r="L63" s="108" t="s">
        <v>74</v>
      </c>
      <c r="M63" s="101"/>
      <c r="N63" s="101"/>
      <c r="O63" s="101" t="s">
        <v>30</v>
      </c>
      <c r="P63" s="87"/>
      <c r="Q63" s="105"/>
      <c r="R63" s="102"/>
      <c r="S63" s="101"/>
      <c r="T63" s="82"/>
      <c r="U63" s="82"/>
      <c r="V63" s="82"/>
      <c r="W63" s="84"/>
      <c r="X63" s="82"/>
      <c r="Y63" s="82"/>
      <c r="Z63" s="101"/>
      <c r="AA63" s="84"/>
      <c r="AB63" s="101"/>
      <c r="AE63" s="119" t="s">
        <v>113</v>
      </c>
      <c r="AF63" s="119" t="str">
        <f t="shared" si="38"/>
        <v>1</v>
      </c>
      <c r="AG63" s="119" t="str">
        <f t="shared" si="39"/>
        <v>2</v>
      </c>
      <c r="AH63" s="119">
        <f t="shared" si="40"/>
        <v>4</v>
      </c>
      <c r="AI63" s="120">
        <f t="shared" si="41"/>
        <v>8</v>
      </c>
      <c r="AJ63" s="120"/>
      <c r="AK63" s="119"/>
      <c r="AL63" s="119"/>
      <c r="AM63" s="116" t="s">
        <v>113</v>
      </c>
      <c r="AN63" s="119" t="str">
        <f t="shared" si="8"/>
        <v>3(1,2,4)</v>
      </c>
      <c r="AO63" s="119">
        <f t="shared" si="29"/>
        <v>1</v>
      </c>
      <c r="AP63" s="119">
        <f t="shared" si="30"/>
        <v>7</v>
      </c>
    </row>
    <row r="64" spans="1:42" x14ac:dyDescent="0.2">
      <c r="A64" s="104">
        <f>SUBTOTAL(3,B$9:$B64)</f>
        <v>56</v>
      </c>
      <c r="B64" s="82" t="s">
        <v>6</v>
      </c>
      <c r="C64" s="82"/>
      <c r="D64" s="84"/>
      <c r="E64" s="83"/>
      <c r="F64" s="83"/>
      <c r="G64" s="85"/>
      <c r="H64" s="84"/>
      <c r="I64" s="82"/>
      <c r="J64" s="82"/>
      <c r="K64" s="82"/>
      <c r="L64" s="82"/>
      <c r="M64" s="82"/>
      <c r="N64" s="82"/>
      <c r="O64" s="82"/>
      <c r="P64" s="87"/>
      <c r="Q64" s="87"/>
      <c r="R64" s="84"/>
      <c r="S64" s="82"/>
      <c r="T64" s="82"/>
      <c r="U64" s="82"/>
      <c r="V64" s="82"/>
      <c r="W64" s="84"/>
      <c r="X64" s="82"/>
      <c r="Y64" s="82"/>
      <c r="Z64" s="82"/>
      <c r="AA64" s="84"/>
      <c r="AB64" s="82"/>
      <c r="AE64" s="2"/>
      <c r="AF64" s="90"/>
      <c r="AG64" s="90"/>
      <c r="AH64" s="90"/>
      <c r="AI64" s="99"/>
      <c r="AJ64" s="99"/>
      <c r="AK64" s="90"/>
      <c r="AL64" s="90"/>
      <c r="AM64" s="2"/>
      <c r="AN64" s="90">
        <f t="shared" si="8"/>
        <v>0</v>
      </c>
      <c r="AO64" s="90">
        <f t="shared" si="29"/>
        <v>1</v>
      </c>
      <c r="AP64" s="90" t="e">
        <f t="shared" si="30"/>
        <v>#VALUE!</v>
      </c>
    </row>
    <row r="65" spans="1:42" s="100" customFormat="1" ht="12" x14ac:dyDescent="0.2">
      <c r="A65" s="104">
        <f>SUBTOTAL(3,B$9:$B65)</f>
        <v>57</v>
      </c>
      <c r="B65" s="101" t="s">
        <v>6</v>
      </c>
      <c r="C65" s="112" t="s">
        <v>217</v>
      </c>
      <c r="D65" s="113" t="s">
        <v>136</v>
      </c>
      <c r="E65" s="122" t="s">
        <v>117</v>
      </c>
      <c r="F65" s="121" t="s">
        <v>218</v>
      </c>
      <c r="G65" s="101"/>
      <c r="H65" s="103" t="s">
        <v>129</v>
      </c>
      <c r="I65" s="119" t="s">
        <v>131</v>
      </c>
      <c r="J65" s="123">
        <v>0</v>
      </c>
      <c r="K65" s="123">
        <v>270</v>
      </c>
      <c r="L65" s="117"/>
      <c r="M65" s="117"/>
      <c r="N65" s="125" t="s">
        <v>74</v>
      </c>
      <c r="O65" s="101" t="s">
        <v>33</v>
      </c>
      <c r="P65" s="87"/>
      <c r="Q65" s="105">
        <v>16</v>
      </c>
      <c r="R65" s="105" t="s">
        <v>228</v>
      </c>
      <c r="S65" s="101"/>
      <c r="T65" s="82"/>
      <c r="U65" s="82"/>
      <c r="V65" s="82"/>
      <c r="W65" s="84"/>
      <c r="X65" s="82"/>
      <c r="Y65" s="82"/>
      <c r="Z65" s="101"/>
      <c r="AA65" s="84"/>
      <c r="AB65" s="101"/>
      <c r="AE65" s="119" t="s">
        <v>131</v>
      </c>
      <c r="AF65" s="119" t="str">
        <f t="shared" ref="AF65:AF71" si="42">MID(AE65,FIND("(",AE65)+1,1)</f>
        <v>0</v>
      </c>
      <c r="AG65" s="119" t="str">
        <f t="shared" ref="AG65:AG71" si="43">MID(AE65,FIND("(",AE65)+3,1)</f>
        <v>6</v>
      </c>
      <c r="AH65" s="119">
        <f t="shared" si="40"/>
        <v>6</v>
      </c>
      <c r="AI65" s="120">
        <f t="shared" ref="AI65:AI71" si="44">FIND(")",AE65)</f>
        <v>8</v>
      </c>
      <c r="AJ65" s="120"/>
      <c r="AK65" s="119"/>
      <c r="AL65" s="119"/>
      <c r="AM65" s="116" t="s">
        <v>131</v>
      </c>
      <c r="AN65" s="119" t="str">
        <f t="shared" si="8"/>
        <v>6(0,6,6)</v>
      </c>
      <c r="AO65" s="119">
        <f t="shared" si="29"/>
        <v>1</v>
      </c>
      <c r="AP65" s="119">
        <f t="shared" si="30"/>
        <v>7</v>
      </c>
    </row>
    <row r="66" spans="1:42" s="100" customFormat="1" ht="12" x14ac:dyDescent="0.2">
      <c r="A66" s="104">
        <f>SUBTOTAL(3,B$9:$B66)</f>
        <v>58</v>
      </c>
      <c r="B66" s="101" t="s">
        <v>6</v>
      </c>
      <c r="C66" s="112" t="s">
        <v>217</v>
      </c>
      <c r="D66" s="113" t="s">
        <v>136</v>
      </c>
      <c r="E66" s="122" t="s">
        <v>220</v>
      </c>
      <c r="F66" s="121" t="s">
        <v>219</v>
      </c>
      <c r="G66" s="107"/>
      <c r="H66" s="108" t="s">
        <v>129</v>
      </c>
      <c r="I66" s="119" t="s">
        <v>111</v>
      </c>
      <c r="J66" s="123">
        <v>0</v>
      </c>
      <c r="K66" s="123">
        <v>60</v>
      </c>
      <c r="L66" s="117"/>
      <c r="M66" s="110" t="s">
        <v>74</v>
      </c>
      <c r="N66" s="118"/>
      <c r="O66" s="101" t="s">
        <v>30</v>
      </c>
      <c r="P66" s="87"/>
      <c r="Q66" s="105"/>
      <c r="R66" s="102"/>
      <c r="S66" s="101"/>
      <c r="T66" s="82"/>
      <c r="U66" s="82"/>
      <c r="V66" s="82"/>
      <c r="W66" s="84"/>
      <c r="X66" s="82"/>
      <c r="Y66" s="82"/>
      <c r="Z66" s="101"/>
      <c r="AA66" s="84"/>
      <c r="AB66" s="101"/>
      <c r="AE66" s="119" t="s">
        <v>111</v>
      </c>
      <c r="AF66" s="119" t="str">
        <f t="shared" si="42"/>
        <v>2</v>
      </c>
      <c r="AG66" s="119" t="str">
        <f t="shared" si="43"/>
        <v>1</v>
      </c>
      <c r="AH66" s="119">
        <f t="shared" si="40"/>
        <v>5</v>
      </c>
      <c r="AI66" s="120">
        <f t="shared" si="44"/>
        <v>8</v>
      </c>
      <c r="AJ66" s="120"/>
      <c r="AK66" s="119"/>
      <c r="AL66" s="119"/>
      <c r="AM66" s="116" t="s">
        <v>111</v>
      </c>
      <c r="AN66" s="119" t="str">
        <f t="shared" si="8"/>
        <v>3(2,1,5)</v>
      </c>
      <c r="AO66" s="119">
        <f t="shared" si="29"/>
        <v>1</v>
      </c>
      <c r="AP66" s="119">
        <f t="shared" si="30"/>
        <v>7</v>
      </c>
    </row>
    <row r="67" spans="1:42" s="100" customFormat="1" ht="12" x14ac:dyDescent="0.2">
      <c r="A67" s="104">
        <f>SUBTOTAL(3,B$9:$B67)</f>
        <v>59</v>
      </c>
      <c r="B67" s="101" t="s">
        <v>6</v>
      </c>
      <c r="C67" s="112" t="s">
        <v>217</v>
      </c>
      <c r="D67" s="113" t="s">
        <v>136</v>
      </c>
      <c r="E67" s="122" t="s">
        <v>222</v>
      </c>
      <c r="F67" s="121" t="s">
        <v>221</v>
      </c>
      <c r="G67" s="107"/>
      <c r="H67" s="108" t="s">
        <v>129</v>
      </c>
      <c r="I67" s="119" t="s">
        <v>111</v>
      </c>
      <c r="J67" s="123">
        <v>0</v>
      </c>
      <c r="K67" s="123">
        <v>60</v>
      </c>
      <c r="L67" s="117"/>
      <c r="M67" s="110" t="s">
        <v>74</v>
      </c>
      <c r="N67" s="118"/>
      <c r="O67" s="101" t="s">
        <v>30</v>
      </c>
      <c r="P67" s="87"/>
      <c r="Q67" s="105"/>
      <c r="R67" s="102"/>
      <c r="S67" s="101"/>
      <c r="T67" s="82"/>
      <c r="U67" s="82"/>
      <c r="V67" s="82"/>
      <c r="W67" s="84"/>
      <c r="X67" s="82"/>
      <c r="Y67" s="82"/>
      <c r="Z67" s="101"/>
      <c r="AA67" s="84"/>
      <c r="AB67" s="101"/>
      <c r="AE67" s="119" t="s">
        <v>111</v>
      </c>
      <c r="AF67" s="119" t="str">
        <f t="shared" si="42"/>
        <v>2</v>
      </c>
      <c r="AG67" s="119" t="str">
        <f t="shared" si="43"/>
        <v>1</v>
      </c>
      <c r="AH67" s="119">
        <f t="shared" si="40"/>
        <v>5</v>
      </c>
      <c r="AI67" s="120">
        <f t="shared" si="44"/>
        <v>8</v>
      </c>
      <c r="AJ67" s="120"/>
      <c r="AK67" s="119"/>
      <c r="AL67" s="119"/>
      <c r="AM67" s="116" t="s">
        <v>111</v>
      </c>
      <c r="AN67" s="119" t="str">
        <f t="shared" si="8"/>
        <v>3(2,1,5)</v>
      </c>
      <c r="AO67" s="119">
        <f t="shared" si="29"/>
        <v>1</v>
      </c>
      <c r="AP67" s="119">
        <f t="shared" si="30"/>
        <v>7</v>
      </c>
    </row>
    <row r="68" spans="1:42" s="100" customFormat="1" ht="12" x14ac:dyDescent="0.2">
      <c r="A68" s="104">
        <f>SUBTOTAL(3,B$9:$B68)</f>
        <v>60</v>
      </c>
      <c r="B68" s="101" t="s">
        <v>6</v>
      </c>
      <c r="C68" s="112" t="s">
        <v>217</v>
      </c>
      <c r="D68" s="113" t="s">
        <v>136</v>
      </c>
      <c r="E68" s="122" t="s">
        <v>224</v>
      </c>
      <c r="F68" s="121" t="s">
        <v>223</v>
      </c>
      <c r="G68" s="107"/>
      <c r="H68" s="108" t="s">
        <v>129</v>
      </c>
      <c r="I68" s="119" t="s">
        <v>111</v>
      </c>
      <c r="J68" s="123">
        <v>0</v>
      </c>
      <c r="K68" s="123">
        <v>60</v>
      </c>
      <c r="L68" s="117"/>
      <c r="M68" s="110" t="s">
        <v>74</v>
      </c>
      <c r="N68" s="118"/>
      <c r="O68" s="101" t="s">
        <v>30</v>
      </c>
      <c r="P68" s="87"/>
      <c r="Q68" s="105"/>
      <c r="R68" s="102"/>
      <c r="S68" s="101"/>
      <c r="T68" s="82"/>
      <c r="U68" s="82"/>
      <c r="V68" s="82"/>
      <c r="W68" s="84"/>
      <c r="X68" s="82"/>
      <c r="Y68" s="82"/>
      <c r="Z68" s="101"/>
      <c r="AA68" s="84"/>
      <c r="AB68" s="101"/>
      <c r="AE68" s="119" t="s">
        <v>111</v>
      </c>
      <c r="AF68" s="119" t="str">
        <f t="shared" si="42"/>
        <v>2</v>
      </c>
      <c r="AG68" s="119" t="str">
        <f t="shared" si="43"/>
        <v>1</v>
      </c>
      <c r="AH68" s="119">
        <f t="shared" si="40"/>
        <v>5</v>
      </c>
      <c r="AI68" s="120">
        <f t="shared" si="44"/>
        <v>8</v>
      </c>
      <c r="AJ68" s="120"/>
      <c r="AK68" s="119"/>
      <c r="AL68" s="119"/>
      <c r="AM68" s="116" t="s">
        <v>111</v>
      </c>
      <c r="AN68" s="119" t="str">
        <f t="shared" si="8"/>
        <v>3(2,1,5)</v>
      </c>
      <c r="AO68" s="119">
        <f t="shared" si="29"/>
        <v>1</v>
      </c>
      <c r="AP68" s="119">
        <f t="shared" si="30"/>
        <v>7</v>
      </c>
    </row>
    <row r="69" spans="1:42" s="100" customFormat="1" ht="24" x14ac:dyDescent="0.2">
      <c r="A69" s="104">
        <f>SUBTOTAL(3,B$9:$B69)</f>
        <v>61</v>
      </c>
      <c r="B69" s="101" t="s">
        <v>6</v>
      </c>
      <c r="C69" s="112" t="s">
        <v>217</v>
      </c>
      <c r="D69" s="113" t="s">
        <v>136</v>
      </c>
      <c r="E69" s="122" t="s">
        <v>137</v>
      </c>
      <c r="F69" s="121" t="s">
        <v>225</v>
      </c>
      <c r="G69" s="107"/>
      <c r="H69" s="108" t="s">
        <v>129</v>
      </c>
      <c r="I69" s="119" t="s">
        <v>111</v>
      </c>
      <c r="J69" s="123">
        <v>0</v>
      </c>
      <c r="K69" s="123">
        <v>60</v>
      </c>
      <c r="L69" s="117"/>
      <c r="M69" s="110" t="s">
        <v>74</v>
      </c>
      <c r="N69" s="118"/>
      <c r="O69" s="101" t="s">
        <v>30</v>
      </c>
      <c r="P69" s="87"/>
      <c r="Q69" s="105"/>
      <c r="R69" s="102"/>
      <c r="S69" s="101"/>
      <c r="T69" s="82"/>
      <c r="U69" s="82"/>
      <c r="V69" s="82"/>
      <c r="W69" s="84"/>
      <c r="X69" s="82"/>
      <c r="Y69" s="82"/>
      <c r="Z69" s="101"/>
      <c r="AA69" s="84"/>
      <c r="AB69" s="101"/>
      <c r="AE69" s="119" t="s">
        <v>111</v>
      </c>
      <c r="AF69" s="119" t="str">
        <f t="shared" si="42"/>
        <v>2</v>
      </c>
      <c r="AG69" s="119" t="str">
        <f t="shared" si="43"/>
        <v>1</v>
      </c>
      <c r="AH69" s="119">
        <f t="shared" si="40"/>
        <v>5</v>
      </c>
      <c r="AI69" s="120">
        <f t="shared" si="44"/>
        <v>8</v>
      </c>
      <c r="AJ69" s="120"/>
      <c r="AK69" s="119"/>
      <c r="AL69" s="119"/>
      <c r="AM69" s="116" t="s">
        <v>111</v>
      </c>
      <c r="AN69" s="119" t="str">
        <f t="shared" si="8"/>
        <v>3(2,1,5)</v>
      </c>
      <c r="AO69" s="119">
        <f t="shared" si="29"/>
        <v>1</v>
      </c>
      <c r="AP69" s="119">
        <f t="shared" si="30"/>
        <v>7</v>
      </c>
    </row>
    <row r="70" spans="1:42" s="100" customFormat="1" ht="24" x14ac:dyDescent="0.2">
      <c r="A70" s="104">
        <f>SUBTOTAL(3,B$9:$B70)</f>
        <v>62</v>
      </c>
      <c r="B70" s="101" t="s">
        <v>6</v>
      </c>
      <c r="C70" s="112" t="s">
        <v>217</v>
      </c>
      <c r="D70" s="113" t="s">
        <v>136</v>
      </c>
      <c r="E70" s="122" t="s">
        <v>138</v>
      </c>
      <c r="F70" s="121" t="s">
        <v>226</v>
      </c>
      <c r="G70" s="107"/>
      <c r="H70" s="108" t="s">
        <v>129</v>
      </c>
      <c r="I70" s="119" t="s">
        <v>110</v>
      </c>
      <c r="J70" s="123">
        <v>0</v>
      </c>
      <c r="K70" s="123">
        <v>45</v>
      </c>
      <c r="L70" s="117"/>
      <c r="M70" s="110" t="s">
        <v>74</v>
      </c>
      <c r="N70" s="118"/>
      <c r="O70" s="101" t="s">
        <v>30</v>
      </c>
      <c r="P70" s="87"/>
      <c r="Q70" s="105"/>
      <c r="R70" s="102"/>
      <c r="S70" s="101"/>
      <c r="T70" s="82"/>
      <c r="U70" s="82"/>
      <c r="V70" s="82"/>
      <c r="W70" s="84"/>
      <c r="X70" s="82"/>
      <c r="Y70" s="82"/>
      <c r="Z70" s="101"/>
      <c r="AA70" s="84"/>
      <c r="AB70" s="101"/>
      <c r="AE70" s="119" t="s">
        <v>110</v>
      </c>
      <c r="AF70" s="119" t="str">
        <f t="shared" si="42"/>
        <v>1</v>
      </c>
      <c r="AG70" s="119" t="str">
        <f t="shared" si="43"/>
        <v>1</v>
      </c>
      <c r="AH70" s="119">
        <f t="shared" si="40"/>
        <v>3</v>
      </c>
      <c r="AI70" s="120">
        <f t="shared" si="44"/>
        <v>8</v>
      </c>
      <c r="AJ70" s="120"/>
      <c r="AK70" s="119"/>
      <c r="AL70" s="119"/>
      <c r="AM70" s="116" t="s">
        <v>110</v>
      </c>
      <c r="AN70" s="119" t="str">
        <f t="shared" si="8"/>
        <v>2(1,1,3)</v>
      </c>
      <c r="AO70" s="119">
        <f t="shared" si="29"/>
        <v>1</v>
      </c>
      <c r="AP70" s="119">
        <f t="shared" si="30"/>
        <v>7</v>
      </c>
    </row>
    <row r="71" spans="1:42" s="100" customFormat="1" ht="12" x14ac:dyDescent="0.2">
      <c r="A71" s="104">
        <f>SUBTOTAL(3,B$9:$B71)</f>
        <v>63</v>
      </c>
      <c r="B71" s="101" t="s">
        <v>6</v>
      </c>
      <c r="C71" s="112" t="s">
        <v>217</v>
      </c>
      <c r="D71" s="113" t="s">
        <v>136</v>
      </c>
      <c r="E71" s="122" t="s">
        <v>139</v>
      </c>
      <c r="F71" s="121" t="s">
        <v>227</v>
      </c>
      <c r="G71" s="107"/>
      <c r="H71" s="108" t="s">
        <v>129</v>
      </c>
      <c r="I71" s="119" t="s">
        <v>116</v>
      </c>
      <c r="J71" s="123">
        <v>0</v>
      </c>
      <c r="K71" s="123">
        <v>105</v>
      </c>
      <c r="L71" s="117"/>
      <c r="M71" s="110" t="s">
        <v>74</v>
      </c>
      <c r="N71" s="118"/>
      <c r="O71" s="101" t="s">
        <v>30</v>
      </c>
      <c r="P71" s="87"/>
      <c r="Q71" s="105"/>
      <c r="R71" s="102"/>
      <c r="S71" s="101"/>
      <c r="T71" s="82"/>
      <c r="U71" s="82"/>
      <c r="V71" s="82"/>
      <c r="W71" s="84"/>
      <c r="X71" s="82"/>
      <c r="Y71" s="82"/>
      <c r="Z71" s="101"/>
      <c r="AA71" s="84"/>
      <c r="AB71" s="101"/>
      <c r="AE71" s="119" t="s">
        <v>116</v>
      </c>
      <c r="AF71" s="119" t="str">
        <f t="shared" si="42"/>
        <v>3</v>
      </c>
      <c r="AG71" s="119" t="str">
        <f t="shared" si="43"/>
        <v>2</v>
      </c>
      <c r="AH71" s="119">
        <f t="shared" si="40"/>
        <v>8</v>
      </c>
      <c r="AI71" s="120">
        <f t="shared" si="44"/>
        <v>8</v>
      </c>
      <c r="AJ71" s="120"/>
      <c r="AK71" s="119"/>
      <c r="AL71" s="119"/>
      <c r="AM71" s="116" t="s">
        <v>116</v>
      </c>
      <c r="AN71" s="119" t="str">
        <f t="shared" si="8"/>
        <v>5(3,2,8)</v>
      </c>
      <c r="AO71" s="119">
        <f t="shared" si="29"/>
        <v>1</v>
      </c>
      <c r="AP71" s="119">
        <f t="shared" si="30"/>
        <v>7</v>
      </c>
    </row>
    <row r="72" spans="1:42" x14ac:dyDescent="0.2">
      <c r="A72" s="104">
        <f>SUBTOTAL(3,B$9:$B72)</f>
        <v>64</v>
      </c>
      <c r="B72" s="82" t="s">
        <v>6</v>
      </c>
      <c r="C72" s="82"/>
      <c r="D72" s="84"/>
      <c r="E72" s="83"/>
      <c r="F72" s="83"/>
      <c r="G72" s="85"/>
      <c r="H72" s="84"/>
      <c r="I72" s="82"/>
      <c r="J72" s="82"/>
      <c r="K72" s="82"/>
      <c r="L72" s="82"/>
      <c r="M72" s="82"/>
      <c r="N72" s="82"/>
      <c r="O72" s="82"/>
      <c r="P72" s="87"/>
      <c r="Q72" s="87"/>
      <c r="R72" s="84"/>
      <c r="S72" s="82"/>
      <c r="T72" s="82"/>
      <c r="U72" s="82"/>
      <c r="V72" s="82"/>
      <c r="W72" s="84"/>
      <c r="X72" s="82"/>
      <c r="Y72" s="82"/>
      <c r="Z72" s="82"/>
      <c r="AA72" s="84"/>
      <c r="AB72" s="82"/>
      <c r="AE72" s="82"/>
      <c r="AF72" s="90"/>
      <c r="AG72" s="90"/>
      <c r="AH72" s="90"/>
      <c r="AI72" s="99"/>
      <c r="AJ72" s="99"/>
      <c r="AK72" s="90"/>
      <c r="AL72" s="90"/>
      <c r="AM72" s="82"/>
      <c r="AN72" s="90">
        <f t="shared" si="8"/>
        <v>0</v>
      </c>
      <c r="AO72" s="90">
        <f t="shared" si="29"/>
        <v>1</v>
      </c>
      <c r="AP72" s="90" t="e">
        <f t="shared" si="30"/>
        <v>#VALUE!</v>
      </c>
    </row>
    <row r="73" spans="1:42" s="100" customFormat="1" ht="12" x14ac:dyDescent="0.2">
      <c r="A73" s="104">
        <f>SUBTOTAL(3,B$9:$B73)</f>
        <v>65</v>
      </c>
      <c r="B73" s="101" t="s">
        <v>6</v>
      </c>
      <c r="C73" s="109" t="s">
        <v>166</v>
      </c>
      <c r="D73" s="106" t="s">
        <v>166</v>
      </c>
      <c r="E73" s="122" t="s">
        <v>117</v>
      </c>
      <c r="F73" s="121" t="s">
        <v>229</v>
      </c>
      <c r="G73" s="107"/>
      <c r="H73" s="108" t="s">
        <v>129</v>
      </c>
      <c r="I73" s="119" t="s">
        <v>128</v>
      </c>
      <c r="J73" s="123">
        <v>0</v>
      </c>
      <c r="K73" s="123">
        <v>360</v>
      </c>
      <c r="L73" s="117"/>
      <c r="M73" s="117"/>
      <c r="N73" s="125" t="s">
        <v>74</v>
      </c>
      <c r="O73" s="101" t="s">
        <v>33</v>
      </c>
      <c r="P73" s="87"/>
      <c r="Q73" s="105">
        <v>16</v>
      </c>
      <c r="R73" s="105" t="s">
        <v>245</v>
      </c>
      <c r="S73" s="101"/>
      <c r="T73" s="82"/>
      <c r="U73" s="82"/>
      <c r="V73" s="82"/>
      <c r="W73" s="84"/>
      <c r="X73" s="82"/>
      <c r="Y73" s="82"/>
      <c r="Z73" s="101"/>
      <c r="AA73" s="84"/>
      <c r="AB73" s="101"/>
      <c r="AE73" s="119" t="s">
        <v>128</v>
      </c>
      <c r="AF73" s="119" t="str">
        <f>MID(AE73,FIND("(",AE73)+1,1)</f>
        <v>0</v>
      </c>
      <c r="AG73" s="119" t="str">
        <f>MID(AE73,FIND("(",AE73)+3,1)</f>
        <v>8</v>
      </c>
      <c r="AH73" s="119">
        <f t="shared" si="40"/>
        <v>8</v>
      </c>
      <c r="AI73" s="120">
        <f>FIND(")",AE73)</f>
        <v>8</v>
      </c>
      <c r="AJ73" s="120"/>
      <c r="AK73" s="119"/>
      <c r="AL73" s="119"/>
      <c r="AM73" s="116" t="s">
        <v>128</v>
      </c>
      <c r="AN73" s="119" t="str">
        <f t="shared" si="8"/>
        <v>8(0,8,8)</v>
      </c>
      <c r="AO73" s="119">
        <f t="shared" ref="AO73:AO104" si="45">FIND(AK73,AN73,1)</f>
        <v>1</v>
      </c>
      <c r="AP73" s="119">
        <f t="shared" ref="AP73:AP104" si="46">FIND(AH73&amp;")",AN73,1)</f>
        <v>7</v>
      </c>
    </row>
    <row r="74" spans="1:42" s="100" customFormat="1" ht="12" x14ac:dyDescent="0.2">
      <c r="A74" s="104">
        <f>SUBTOTAL(3,B$9:$B74)</f>
        <v>66</v>
      </c>
      <c r="B74" s="101" t="s">
        <v>6</v>
      </c>
      <c r="C74" s="109" t="s">
        <v>166</v>
      </c>
      <c r="D74" s="106" t="s">
        <v>166</v>
      </c>
      <c r="E74" s="122" t="s">
        <v>287</v>
      </c>
      <c r="F74" s="121" t="s">
        <v>230</v>
      </c>
      <c r="G74" s="107"/>
      <c r="H74" s="108" t="s">
        <v>129</v>
      </c>
      <c r="I74" s="119" t="s">
        <v>113</v>
      </c>
      <c r="J74" s="123">
        <v>75</v>
      </c>
      <c r="K74" s="123">
        <v>0</v>
      </c>
      <c r="L74" s="110" t="s">
        <v>74</v>
      </c>
      <c r="M74" s="117"/>
      <c r="N74" s="118"/>
      <c r="O74" s="101" t="s">
        <v>33</v>
      </c>
      <c r="P74" s="87"/>
      <c r="Q74" s="105"/>
      <c r="R74" s="102"/>
      <c r="S74" s="101"/>
      <c r="T74" s="82"/>
      <c r="U74" s="82"/>
      <c r="V74" s="82"/>
      <c r="W74" s="84"/>
      <c r="X74" s="82"/>
      <c r="Y74" s="82"/>
      <c r="Z74" s="101"/>
      <c r="AA74" s="84"/>
      <c r="AB74" s="101"/>
      <c r="AE74" s="119" t="s">
        <v>113</v>
      </c>
      <c r="AF74" s="119" t="str">
        <f>MID(AE74,FIND("(",AE74)+1,1)</f>
        <v>1</v>
      </c>
      <c r="AG74" s="119" t="str">
        <f>MID(AE74,FIND("(",AE74)+3,1)</f>
        <v>2</v>
      </c>
      <c r="AH74" s="119">
        <f t="shared" si="40"/>
        <v>4</v>
      </c>
      <c r="AI74" s="120">
        <f>FIND(")",AE74)</f>
        <v>8</v>
      </c>
      <c r="AJ74" s="120"/>
      <c r="AK74" s="119"/>
      <c r="AL74" s="119"/>
      <c r="AM74" s="116" t="s">
        <v>113</v>
      </c>
      <c r="AN74" s="119" t="str">
        <f t="shared" ref="AN74:AN120" si="47">IF(AL74="",AM74,AL74)</f>
        <v>3(1,2,4)</v>
      </c>
      <c r="AO74" s="119">
        <f t="shared" si="45"/>
        <v>1</v>
      </c>
      <c r="AP74" s="119">
        <f t="shared" si="46"/>
        <v>7</v>
      </c>
    </row>
    <row r="75" spans="1:42" s="100" customFormat="1" ht="12" x14ac:dyDescent="0.2">
      <c r="A75" s="104">
        <f>SUBTOTAL(3,B$9:$B75)</f>
        <v>67</v>
      </c>
      <c r="B75" s="101" t="s">
        <v>6</v>
      </c>
      <c r="C75" s="109" t="s">
        <v>166</v>
      </c>
      <c r="D75" s="106" t="s">
        <v>166</v>
      </c>
      <c r="E75" s="122" t="s">
        <v>139</v>
      </c>
      <c r="F75" s="121" t="s">
        <v>231</v>
      </c>
      <c r="G75" s="107"/>
      <c r="H75" s="108" t="s">
        <v>129</v>
      </c>
      <c r="I75" s="119" t="s">
        <v>114</v>
      </c>
      <c r="J75" s="123">
        <v>0</v>
      </c>
      <c r="K75" s="123">
        <v>225</v>
      </c>
      <c r="L75" s="117"/>
      <c r="M75" s="110" t="s">
        <v>74</v>
      </c>
      <c r="N75" s="118"/>
      <c r="O75" s="101" t="s">
        <v>30</v>
      </c>
      <c r="P75" s="87"/>
      <c r="Q75" s="105"/>
      <c r="R75" s="102"/>
      <c r="S75" s="101"/>
      <c r="T75" s="82"/>
      <c r="U75" s="82"/>
      <c r="V75" s="82"/>
      <c r="W75" s="84"/>
      <c r="X75" s="82"/>
      <c r="Y75" s="82"/>
      <c r="Z75" s="101"/>
      <c r="AA75" s="84"/>
      <c r="AB75" s="101"/>
      <c r="AE75" s="119" t="s">
        <v>114</v>
      </c>
      <c r="AF75" s="119" t="str">
        <f>MID(AE75,FIND("(",AE75)+1,1)</f>
        <v>0</v>
      </c>
      <c r="AG75" s="119" t="str">
        <f>MID(AE75,FIND("(",AE75)+3,1)</f>
        <v>5</v>
      </c>
      <c r="AH75" s="119">
        <f t="shared" si="40"/>
        <v>5</v>
      </c>
      <c r="AI75" s="120">
        <f>FIND(")",AE75)</f>
        <v>8</v>
      </c>
      <c r="AJ75" s="120"/>
      <c r="AK75" s="119"/>
      <c r="AL75" s="119"/>
      <c r="AM75" s="116" t="s">
        <v>114</v>
      </c>
      <c r="AN75" s="119" t="str">
        <f t="shared" si="47"/>
        <v>5(0,5,5)</v>
      </c>
      <c r="AO75" s="119">
        <f t="shared" si="45"/>
        <v>1</v>
      </c>
      <c r="AP75" s="119">
        <f t="shared" si="46"/>
        <v>7</v>
      </c>
    </row>
    <row r="76" spans="1:42" s="100" customFormat="1" ht="24" x14ac:dyDescent="0.2">
      <c r="A76" s="104">
        <f>SUBTOTAL(3,B$9:$B76)</f>
        <v>68</v>
      </c>
      <c r="B76" s="101" t="s">
        <v>6</v>
      </c>
      <c r="C76" s="109" t="s">
        <v>166</v>
      </c>
      <c r="D76" s="106" t="s">
        <v>166</v>
      </c>
      <c r="E76" s="122" t="s">
        <v>233</v>
      </c>
      <c r="F76" s="121" t="s">
        <v>232</v>
      </c>
      <c r="G76" s="107"/>
      <c r="H76" s="108" t="s">
        <v>129</v>
      </c>
      <c r="I76" s="119" t="s">
        <v>120</v>
      </c>
      <c r="J76" s="123">
        <v>0</v>
      </c>
      <c r="K76" s="123">
        <v>90</v>
      </c>
      <c r="L76" s="117"/>
      <c r="M76" s="110" t="s">
        <v>74</v>
      </c>
      <c r="N76" s="118"/>
      <c r="O76" s="101" t="s">
        <v>30</v>
      </c>
      <c r="P76" s="87"/>
      <c r="Q76" s="105"/>
      <c r="R76" s="102"/>
      <c r="S76" s="101"/>
      <c r="T76" s="82"/>
      <c r="U76" s="82"/>
      <c r="V76" s="82"/>
      <c r="W76" s="84"/>
      <c r="X76" s="82"/>
      <c r="Y76" s="82"/>
      <c r="Z76" s="101"/>
      <c r="AA76" s="84"/>
      <c r="AB76" s="101"/>
      <c r="AE76" s="119" t="s">
        <v>120</v>
      </c>
      <c r="AF76" s="119" t="str">
        <f>MID(AE76,FIND("(",AE76)+1,1)</f>
        <v>0</v>
      </c>
      <c r="AG76" s="119" t="str">
        <f>MID(AE76,FIND("(",AE76)+3,1)</f>
        <v>2</v>
      </c>
      <c r="AH76" s="119">
        <f t="shared" si="40"/>
        <v>2</v>
      </c>
      <c r="AI76" s="120">
        <f>FIND(")",AE76)</f>
        <v>8</v>
      </c>
      <c r="AJ76" s="120"/>
      <c r="AK76" s="119"/>
      <c r="AL76" s="119"/>
      <c r="AM76" s="116" t="s">
        <v>120</v>
      </c>
      <c r="AN76" s="119" t="str">
        <f t="shared" si="47"/>
        <v>2(0,2,2)</v>
      </c>
      <c r="AO76" s="119">
        <f t="shared" si="45"/>
        <v>1</v>
      </c>
      <c r="AP76" s="119">
        <f t="shared" si="46"/>
        <v>7</v>
      </c>
    </row>
    <row r="77" spans="1:42" s="100" customFormat="1" ht="24" x14ac:dyDescent="0.2">
      <c r="A77" s="104">
        <f>SUBTOTAL(3,B$9:$B77)</f>
        <v>69</v>
      </c>
      <c r="B77" s="101" t="s">
        <v>6</v>
      </c>
      <c r="C77" s="109" t="s">
        <v>166</v>
      </c>
      <c r="D77" s="106" t="s">
        <v>166</v>
      </c>
      <c r="E77" s="122" t="s">
        <v>235</v>
      </c>
      <c r="F77" s="121" t="s">
        <v>234</v>
      </c>
      <c r="G77" s="107"/>
      <c r="H77" s="108" t="s">
        <v>129</v>
      </c>
      <c r="I77" s="119" t="s">
        <v>119</v>
      </c>
      <c r="J77" s="123">
        <v>0</v>
      </c>
      <c r="K77" s="123">
        <v>135</v>
      </c>
      <c r="L77" s="117"/>
      <c r="M77" s="110" t="s">
        <v>74</v>
      </c>
      <c r="N77" s="118"/>
      <c r="O77" s="101" t="s">
        <v>30</v>
      </c>
      <c r="P77" s="87"/>
      <c r="Q77" s="105"/>
      <c r="R77" s="102"/>
      <c r="S77" s="101"/>
      <c r="T77" s="82"/>
      <c r="U77" s="82"/>
      <c r="V77" s="82"/>
      <c r="W77" s="84"/>
      <c r="X77" s="82"/>
      <c r="Y77" s="82"/>
      <c r="Z77" s="101"/>
      <c r="AA77" s="84"/>
      <c r="AB77" s="101"/>
      <c r="AE77" s="119" t="s">
        <v>119</v>
      </c>
      <c r="AF77" s="119" t="str">
        <f>MID(AE77,FIND("(",AE77)+1,1)</f>
        <v>0</v>
      </c>
      <c r="AG77" s="119" t="str">
        <f>MID(AE77,FIND("(",AE77)+3,1)</f>
        <v>3</v>
      </c>
      <c r="AH77" s="119">
        <f t="shared" si="40"/>
        <v>3</v>
      </c>
      <c r="AI77" s="120">
        <f>FIND(")",AE77)</f>
        <v>8</v>
      </c>
      <c r="AJ77" s="120"/>
      <c r="AK77" s="119"/>
      <c r="AL77" s="119"/>
      <c r="AM77" s="116" t="s">
        <v>119</v>
      </c>
      <c r="AN77" s="119" t="str">
        <f t="shared" si="47"/>
        <v>3(0,3,3)</v>
      </c>
      <c r="AO77" s="119">
        <f t="shared" si="45"/>
        <v>1</v>
      </c>
      <c r="AP77" s="119">
        <f t="shared" si="46"/>
        <v>7</v>
      </c>
    </row>
    <row r="78" spans="1:42" s="97" customFormat="1" ht="24.75" customHeight="1" x14ac:dyDescent="0.2">
      <c r="A78" s="104">
        <f>SUBTOTAL(3,B$9:$B78)</f>
        <v>69</v>
      </c>
      <c r="B78" s="94"/>
      <c r="C78" s="94"/>
      <c r="D78" s="95"/>
      <c r="E78" s="126"/>
      <c r="F78" s="126"/>
      <c r="G78" s="127"/>
      <c r="H78" s="95"/>
      <c r="I78" s="94"/>
      <c r="J78" s="94"/>
      <c r="K78" s="94"/>
      <c r="L78" s="94"/>
      <c r="M78" s="94"/>
      <c r="N78" s="94"/>
      <c r="O78" s="94"/>
      <c r="P78" s="128"/>
      <c r="Q78" s="128"/>
      <c r="R78" s="95"/>
      <c r="S78" s="94"/>
      <c r="T78" s="94"/>
      <c r="U78" s="94"/>
      <c r="V78" s="94"/>
      <c r="W78" s="95"/>
      <c r="X78" s="94"/>
      <c r="Y78" s="94"/>
      <c r="Z78" s="94"/>
      <c r="AA78" s="95"/>
      <c r="AB78" s="94"/>
      <c r="AE78" s="96"/>
      <c r="AF78" s="90"/>
      <c r="AG78" s="90"/>
      <c r="AH78" s="90"/>
      <c r="AI78" s="99"/>
      <c r="AJ78" s="99"/>
      <c r="AK78" s="90"/>
      <c r="AL78" s="90"/>
      <c r="AM78" s="96"/>
      <c r="AN78" s="90">
        <f t="shared" si="47"/>
        <v>0</v>
      </c>
      <c r="AO78" s="90">
        <f t="shared" si="45"/>
        <v>1</v>
      </c>
      <c r="AP78" s="90" t="e">
        <f t="shared" si="46"/>
        <v>#VALUE!</v>
      </c>
    </row>
    <row r="79" spans="1:42" s="100" customFormat="1" ht="12" x14ac:dyDescent="0.2">
      <c r="A79" s="104">
        <f>SUBTOTAL(3,B$9:$B79)</f>
        <v>70</v>
      </c>
      <c r="B79" s="101" t="s">
        <v>30</v>
      </c>
      <c r="C79" s="101" t="s">
        <v>244</v>
      </c>
      <c r="D79" s="101" t="s">
        <v>244</v>
      </c>
      <c r="E79" s="115" t="s">
        <v>237</v>
      </c>
      <c r="F79" s="121" t="s">
        <v>236</v>
      </c>
      <c r="G79" s="107"/>
      <c r="H79" s="108" t="s">
        <v>129</v>
      </c>
      <c r="I79" s="116" t="s">
        <v>113</v>
      </c>
      <c r="J79" s="123">
        <v>0</v>
      </c>
      <c r="K79" s="123">
        <v>75</v>
      </c>
      <c r="L79" s="117"/>
      <c r="M79" s="110" t="s">
        <v>74</v>
      </c>
      <c r="N79" s="118"/>
      <c r="O79" s="101" t="s">
        <v>33</v>
      </c>
      <c r="P79" s="87"/>
      <c r="Q79" s="105">
        <v>27</v>
      </c>
      <c r="R79" s="102" t="s">
        <v>246</v>
      </c>
      <c r="S79" s="101"/>
      <c r="T79" s="82"/>
      <c r="U79" s="82"/>
      <c r="V79" s="82"/>
      <c r="W79" s="84"/>
      <c r="X79" s="82"/>
      <c r="Y79" s="82"/>
      <c r="Z79" s="101"/>
      <c r="AA79" s="84"/>
      <c r="AB79" s="102" t="s">
        <v>295</v>
      </c>
      <c r="AC79" s="102" t="s">
        <v>248</v>
      </c>
      <c r="AE79" s="116" t="s">
        <v>162</v>
      </c>
      <c r="AF79" s="119" t="str">
        <f t="shared" ref="AF79:AF84" si="48">MID(AE79,FIND("(",AE79)+1,1)</f>
        <v>1</v>
      </c>
      <c r="AG79" s="119" t="str">
        <f t="shared" ref="AG79:AG84" si="49">MID(AE79,FIND("(",AE79)+3,1)</f>
        <v>2</v>
      </c>
      <c r="AH79" s="119">
        <f t="shared" si="40"/>
        <v>4</v>
      </c>
      <c r="AI79" s="120">
        <f t="shared" ref="AI79:AI84" si="50">FIND(")",AE79)</f>
        <v>7</v>
      </c>
      <c r="AJ79" s="120">
        <f t="shared" ref="AJ79:AJ84" si="51">FIND(",)",AE79)</f>
        <v>6</v>
      </c>
      <c r="AK79" s="119" t="str">
        <f t="shared" ref="AK79:AK84" si="52">LEFT(AE79,AJ79)</f>
        <v>3(1,2,</v>
      </c>
      <c r="AL79" s="119" t="str">
        <f t="shared" si="32"/>
        <v>3(1,2,4)</v>
      </c>
      <c r="AM79" s="116" t="s">
        <v>162</v>
      </c>
      <c r="AN79" s="119" t="str">
        <f t="shared" si="47"/>
        <v>3(1,2,4)</v>
      </c>
      <c r="AO79" s="119">
        <f t="shared" si="45"/>
        <v>1</v>
      </c>
      <c r="AP79" s="119">
        <f t="shared" si="46"/>
        <v>7</v>
      </c>
    </row>
    <row r="80" spans="1:42" s="100" customFormat="1" ht="12" x14ac:dyDescent="0.2">
      <c r="A80" s="104">
        <f>SUBTOTAL(3,B$9:$B80)</f>
        <v>71</v>
      </c>
      <c r="B80" s="101" t="s">
        <v>30</v>
      </c>
      <c r="C80" s="101" t="s">
        <v>244</v>
      </c>
      <c r="D80" s="101" t="s">
        <v>244</v>
      </c>
      <c r="E80" s="115" t="s">
        <v>151</v>
      </c>
      <c r="F80" s="121" t="s">
        <v>238</v>
      </c>
      <c r="G80" s="107"/>
      <c r="H80" s="108" t="s">
        <v>129</v>
      </c>
      <c r="I80" s="116" t="s">
        <v>111</v>
      </c>
      <c r="J80" s="123">
        <v>0</v>
      </c>
      <c r="K80" s="123">
        <v>60</v>
      </c>
      <c r="L80" s="117"/>
      <c r="M80" s="110" t="s">
        <v>74</v>
      </c>
      <c r="N80" s="118"/>
      <c r="O80" s="101" t="s">
        <v>33</v>
      </c>
      <c r="P80" s="87"/>
      <c r="Q80" s="105"/>
      <c r="R80" s="102"/>
      <c r="S80" s="101"/>
      <c r="T80" s="82"/>
      <c r="U80" s="82"/>
      <c r="V80" s="82"/>
      <c r="W80" s="84"/>
      <c r="X80" s="82"/>
      <c r="Y80" s="82"/>
      <c r="Z80" s="101"/>
      <c r="AA80" s="84"/>
      <c r="AB80" s="101" t="s">
        <v>295</v>
      </c>
      <c r="AE80" s="116" t="s">
        <v>177</v>
      </c>
      <c r="AF80" s="119" t="str">
        <f t="shared" si="48"/>
        <v>2</v>
      </c>
      <c r="AG80" s="119" t="str">
        <f t="shared" si="49"/>
        <v>1</v>
      </c>
      <c r="AH80" s="119">
        <f t="shared" si="40"/>
        <v>5</v>
      </c>
      <c r="AI80" s="120">
        <f t="shared" si="50"/>
        <v>7</v>
      </c>
      <c r="AJ80" s="120">
        <f t="shared" si="51"/>
        <v>6</v>
      </c>
      <c r="AK80" s="119" t="str">
        <f t="shared" si="52"/>
        <v>3(2,1,</v>
      </c>
      <c r="AL80" s="119" t="str">
        <f t="shared" si="32"/>
        <v>3(2,1,5)</v>
      </c>
      <c r="AM80" s="116" t="s">
        <v>177</v>
      </c>
      <c r="AN80" s="119" t="str">
        <f t="shared" si="47"/>
        <v>3(2,1,5)</v>
      </c>
      <c r="AO80" s="119">
        <f t="shared" si="45"/>
        <v>1</v>
      </c>
      <c r="AP80" s="119">
        <f t="shared" si="46"/>
        <v>7</v>
      </c>
    </row>
    <row r="81" spans="1:42" s="100" customFormat="1" ht="12" x14ac:dyDescent="0.2">
      <c r="A81" s="104">
        <f>SUBTOTAL(3,B$9:$B81)</f>
        <v>72</v>
      </c>
      <c r="B81" s="101" t="s">
        <v>30</v>
      </c>
      <c r="C81" s="101" t="s">
        <v>244</v>
      </c>
      <c r="D81" s="101" t="s">
        <v>244</v>
      </c>
      <c r="E81" s="115" t="s">
        <v>149</v>
      </c>
      <c r="F81" s="121" t="s">
        <v>239</v>
      </c>
      <c r="G81" s="107"/>
      <c r="H81" s="108" t="s">
        <v>129</v>
      </c>
      <c r="I81" s="116" t="s">
        <v>118</v>
      </c>
      <c r="J81" s="123">
        <v>90</v>
      </c>
      <c r="K81" s="123">
        <v>0</v>
      </c>
      <c r="L81" s="110" t="s">
        <v>74</v>
      </c>
      <c r="M81" s="117"/>
      <c r="N81" s="118"/>
      <c r="O81" s="101" t="s">
        <v>33</v>
      </c>
      <c r="P81" s="87"/>
      <c r="Q81" s="105"/>
      <c r="R81" s="102"/>
      <c r="S81" s="101"/>
      <c r="T81" s="82"/>
      <c r="U81" s="82"/>
      <c r="V81" s="82"/>
      <c r="W81" s="84"/>
      <c r="X81" s="82"/>
      <c r="Y81" s="82"/>
      <c r="Z81" s="101"/>
      <c r="AA81" s="84"/>
      <c r="AB81" s="101" t="s">
        <v>295</v>
      </c>
      <c r="AE81" s="116" t="s">
        <v>185</v>
      </c>
      <c r="AF81" s="119" t="str">
        <f t="shared" si="48"/>
        <v>2</v>
      </c>
      <c r="AG81" s="119" t="str">
        <f t="shared" si="49"/>
        <v>2</v>
      </c>
      <c r="AH81" s="119">
        <f t="shared" si="40"/>
        <v>6</v>
      </c>
      <c r="AI81" s="120">
        <f t="shared" si="50"/>
        <v>7</v>
      </c>
      <c r="AJ81" s="120">
        <f t="shared" si="51"/>
        <v>6</v>
      </c>
      <c r="AK81" s="119" t="str">
        <f t="shared" si="52"/>
        <v>4(2,2,</v>
      </c>
      <c r="AL81" s="119" t="str">
        <f t="shared" si="32"/>
        <v>4(2,2,6)</v>
      </c>
      <c r="AM81" s="116" t="s">
        <v>185</v>
      </c>
      <c r="AN81" s="119" t="str">
        <f t="shared" si="47"/>
        <v>4(2,2,6)</v>
      </c>
      <c r="AO81" s="119">
        <f t="shared" si="45"/>
        <v>1</v>
      </c>
      <c r="AP81" s="119">
        <f t="shared" si="46"/>
        <v>7</v>
      </c>
    </row>
    <row r="82" spans="1:42" s="100" customFormat="1" ht="12" x14ac:dyDescent="0.2">
      <c r="A82" s="104">
        <f>SUBTOTAL(3,B$9:$B82)</f>
        <v>73</v>
      </c>
      <c r="B82" s="101" t="s">
        <v>30</v>
      </c>
      <c r="C82" s="101" t="s">
        <v>244</v>
      </c>
      <c r="D82" s="101" t="s">
        <v>244</v>
      </c>
      <c r="E82" s="115" t="s">
        <v>107</v>
      </c>
      <c r="F82" s="121" t="s">
        <v>240</v>
      </c>
      <c r="G82" s="107"/>
      <c r="H82" s="130" t="s">
        <v>36</v>
      </c>
      <c r="I82" s="116" t="s">
        <v>119</v>
      </c>
      <c r="J82" s="123">
        <v>90</v>
      </c>
      <c r="K82" s="123">
        <v>0</v>
      </c>
      <c r="L82" s="110" t="s">
        <v>74</v>
      </c>
      <c r="M82" s="117"/>
      <c r="N82" s="118"/>
      <c r="O82" s="101" t="s">
        <v>33</v>
      </c>
      <c r="P82" s="87"/>
      <c r="Q82" s="105"/>
      <c r="R82" s="102"/>
      <c r="S82" s="101"/>
      <c r="T82" s="82"/>
      <c r="U82" s="82"/>
      <c r="V82" s="82"/>
      <c r="W82" s="84"/>
      <c r="X82" s="82"/>
      <c r="Y82" s="82"/>
      <c r="Z82" s="101"/>
      <c r="AA82" s="84"/>
      <c r="AB82" s="101" t="s">
        <v>295</v>
      </c>
      <c r="AE82" s="116" t="s">
        <v>241</v>
      </c>
      <c r="AF82" s="119" t="str">
        <f t="shared" si="48"/>
        <v>0</v>
      </c>
      <c r="AG82" s="119" t="str">
        <f t="shared" si="49"/>
        <v>3</v>
      </c>
      <c r="AH82" s="119">
        <f t="shared" si="40"/>
        <v>3</v>
      </c>
      <c r="AI82" s="120">
        <f t="shared" si="50"/>
        <v>7</v>
      </c>
      <c r="AJ82" s="120">
        <f t="shared" si="51"/>
        <v>6</v>
      </c>
      <c r="AK82" s="119" t="str">
        <f t="shared" si="52"/>
        <v>3(0,3,</v>
      </c>
      <c r="AL82" s="119" t="str">
        <f t="shared" si="32"/>
        <v>3(0,3,3)</v>
      </c>
      <c r="AM82" s="116" t="s">
        <v>241</v>
      </c>
      <c r="AN82" s="119" t="str">
        <f t="shared" si="47"/>
        <v>3(0,3,3)</v>
      </c>
      <c r="AO82" s="119">
        <f t="shared" si="45"/>
        <v>1</v>
      </c>
      <c r="AP82" s="119">
        <f t="shared" si="46"/>
        <v>7</v>
      </c>
    </row>
    <row r="83" spans="1:42" s="100" customFormat="1" ht="12" x14ac:dyDescent="0.2">
      <c r="A83" s="104">
        <f>SUBTOTAL(3,B$9:$B83)</f>
        <v>74</v>
      </c>
      <c r="B83" s="101" t="s">
        <v>30</v>
      </c>
      <c r="C83" s="101" t="s">
        <v>244</v>
      </c>
      <c r="D83" s="101" t="s">
        <v>244</v>
      </c>
      <c r="E83" s="115" t="s">
        <v>124</v>
      </c>
      <c r="F83" s="121" t="s">
        <v>242</v>
      </c>
      <c r="G83" s="107"/>
      <c r="H83" s="108" t="s">
        <v>129</v>
      </c>
      <c r="I83" s="116" t="s">
        <v>110</v>
      </c>
      <c r="J83" s="123">
        <v>45</v>
      </c>
      <c r="K83" s="123">
        <v>0</v>
      </c>
      <c r="L83" s="110" t="s">
        <v>74</v>
      </c>
      <c r="M83" s="117"/>
      <c r="N83" s="118"/>
      <c r="O83" s="101" t="s">
        <v>33</v>
      </c>
      <c r="P83" s="87"/>
      <c r="Q83" s="105"/>
      <c r="R83" s="102"/>
      <c r="S83" s="101"/>
      <c r="T83" s="82"/>
      <c r="U83" s="82"/>
      <c r="V83" s="82"/>
      <c r="W83" s="84"/>
      <c r="X83" s="82"/>
      <c r="Y83" s="82"/>
      <c r="Z83" s="101"/>
      <c r="AA83" s="84"/>
      <c r="AB83" s="101" t="s">
        <v>295</v>
      </c>
      <c r="AE83" s="116" t="s">
        <v>195</v>
      </c>
      <c r="AF83" s="119" t="str">
        <f t="shared" si="48"/>
        <v>1</v>
      </c>
      <c r="AG83" s="119" t="str">
        <f t="shared" si="49"/>
        <v>1</v>
      </c>
      <c r="AH83" s="119">
        <f t="shared" si="40"/>
        <v>3</v>
      </c>
      <c r="AI83" s="120">
        <f t="shared" si="50"/>
        <v>7</v>
      </c>
      <c r="AJ83" s="120">
        <f t="shared" si="51"/>
        <v>6</v>
      </c>
      <c r="AK83" s="119" t="str">
        <f t="shared" si="52"/>
        <v>2(1,1,</v>
      </c>
      <c r="AL83" s="119" t="str">
        <f t="shared" si="32"/>
        <v>2(1,1,3)</v>
      </c>
      <c r="AM83" s="116" t="s">
        <v>195</v>
      </c>
      <c r="AN83" s="119" t="str">
        <f t="shared" si="47"/>
        <v>2(1,1,3)</v>
      </c>
      <c r="AO83" s="119">
        <f t="shared" si="45"/>
        <v>1</v>
      </c>
      <c r="AP83" s="119">
        <f t="shared" si="46"/>
        <v>7</v>
      </c>
    </row>
    <row r="84" spans="1:42" s="100" customFormat="1" ht="24" x14ac:dyDescent="0.2">
      <c r="A84" s="104">
        <f>SUBTOTAL(3,B$9:$B84)</f>
        <v>75</v>
      </c>
      <c r="B84" s="101" t="s">
        <v>30</v>
      </c>
      <c r="C84" s="101" t="s">
        <v>244</v>
      </c>
      <c r="D84" s="101" t="s">
        <v>244</v>
      </c>
      <c r="E84" s="115" t="s">
        <v>247</v>
      </c>
      <c r="F84" s="121" t="s">
        <v>243</v>
      </c>
      <c r="G84" s="107"/>
      <c r="H84" s="130" t="s">
        <v>123</v>
      </c>
      <c r="I84" s="116" t="s">
        <v>110</v>
      </c>
      <c r="J84" s="123">
        <v>45</v>
      </c>
      <c r="K84" s="123">
        <v>0</v>
      </c>
      <c r="L84" s="110" t="s">
        <v>74</v>
      </c>
      <c r="M84" s="117"/>
      <c r="N84" s="118"/>
      <c r="O84" s="101" t="s">
        <v>33</v>
      </c>
      <c r="P84" s="87"/>
      <c r="Q84" s="105"/>
      <c r="R84" s="102"/>
      <c r="S84" s="101"/>
      <c r="T84" s="82"/>
      <c r="U84" s="82"/>
      <c r="V84" s="82"/>
      <c r="W84" s="84"/>
      <c r="X84" s="82"/>
      <c r="Y84" s="82"/>
      <c r="Z84" s="101"/>
      <c r="AA84" s="84"/>
      <c r="AB84" s="101" t="s">
        <v>295</v>
      </c>
      <c r="AE84" s="116" t="s">
        <v>195</v>
      </c>
      <c r="AF84" s="119" t="str">
        <f t="shared" si="48"/>
        <v>1</v>
      </c>
      <c r="AG84" s="119" t="str">
        <f t="shared" si="49"/>
        <v>1</v>
      </c>
      <c r="AH84" s="119">
        <f t="shared" si="40"/>
        <v>3</v>
      </c>
      <c r="AI84" s="120">
        <f t="shared" si="50"/>
        <v>7</v>
      </c>
      <c r="AJ84" s="120">
        <f t="shared" si="51"/>
        <v>6</v>
      </c>
      <c r="AK84" s="119" t="str">
        <f t="shared" si="52"/>
        <v>2(1,1,</v>
      </c>
      <c r="AL84" s="119" t="str">
        <f t="shared" si="32"/>
        <v>2(1,1,3)</v>
      </c>
      <c r="AM84" s="116" t="s">
        <v>195</v>
      </c>
      <c r="AN84" s="119" t="str">
        <f t="shared" si="47"/>
        <v>2(1,1,3)</v>
      </c>
      <c r="AO84" s="119">
        <f t="shared" si="45"/>
        <v>1</v>
      </c>
      <c r="AP84" s="119">
        <f t="shared" si="46"/>
        <v>7</v>
      </c>
    </row>
    <row r="85" spans="1:42" x14ac:dyDescent="0.2">
      <c r="A85" s="104">
        <f>SUBTOTAL(3,B$9:$B85)</f>
        <v>76</v>
      </c>
      <c r="B85" s="101" t="s">
        <v>30</v>
      </c>
      <c r="C85" s="82"/>
      <c r="D85" s="84"/>
      <c r="E85" s="83"/>
      <c r="F85" s="83"/>
      <c r="G85" s="85"/>
      <c r="H85" s="84"/>
      <c r="I85" s="82"/>
      <c r="J85" s="82"/>
      <c r="K85" s="82"/>
      <c r="L85" s="82"/>
      <c r="M85" s="82"/>
      <c r="N85" s="82"/>
      <c r="O85" s="82"/>
      <c r="P85" s="87"/>
      <c r="Q85" s="87"/>
      <c r="R85" s="84"/>
      <c r="S85" s="82"/>
      <c r="T85" s="82"/>
      <c r="U85" s="82"/>
      <c r="V85" s="82"/>
      <c r="W85" s="84"/>
      <c r="X85" s="82"/>
      <c r="Y85" s="82"/>
      <c r="Z85" s="82"/>
      <c r="AA85" s="84"/>
      <c r="AB85" s="101" t="s">
        <v>295</v>
      </c>
      <c r="AE85" s="2"/>
      <c r="AF85" s="90"/>
      <c r="AG85" s="90"/>
      <c r="AH85" s="90"/>
      <c r="AI85" s="99"/>
      <c r="AJ85" s="99"/>
      <c r="AK85" s="90"/>
      <c r="AL85" s="90"/>
      <c r="AM85" s="2"/>
      <c r="AN85" s="90">
        <f t="shared" si="47"/>
        <v>0</v>
      </c>
      <c r="AO85" s="90">
        <f t="shared" si="45"/>
        <v>1</v>
      </c>
      <c r="AP85" s="90" t="e">
        <f t="shared" si="46"/>
        <v>#VALUE!</v>
      </c>
    </row>
    <row r="86" spans="1:42" s="100" customFormat="1" ht="12" x14ac:dyDescent="0.2">
      <c r="A86" s="104">
        <f>SUBTOTAL(3,B$9:$B86)</f>
        <v>77</v>
      </c>
      <c r="B86" s="101" t="s">
        <v>30</v>
      </c>
      <c r="C86" s="101" t="s">
        <v>253</v>
      </c>
      <c r="D86" s="101" t="s">
        <v>253</v>
      </c>
      <c r="E86" s="115" t="s">
        <v>237</v>
      </c>
      <c r="F86" s="121" t="s">
        <v>249</v>
      </c>
      <c r="G86" s="107"/>
      <c r="H86" s="103" t="s">
        <v>129</v>
      </c>
      <c r="I86" s="116" t="s">
        <v>113</v>
      </c>
      <c r="J86" s="123">
        <v>0</v>
      </c>
      <c r="K86" s="123">
        <v>75</v>
      </c>
      <c r="L86" s="101"/>
      <c r="M86" s="108" t="s">
        <v>74</v>
      </c>
      <c r="N86" s="101"/>
      <c r="O86" s="101" t="s">
        <v>33</v>
      </c>
      <c r="P86" s="87"/>
      <c r="Q86" s="105">
        <v>27</v>
      </c>
      <c r="R86" s="102" t="s">
        <v>254</v>
      </c>
      <c r="S86" s="101"/>
      <c r="T86" s="82"/>
      <c r="U86" s="82"/>
      <c r="V86" s="82"/>
      <c r="W86" s="84"/>
      <c r="X86" s="82"/>
      <c r="Y86" s="82"/>
      <c r="Z86" s="101"/>
      <c r="AA86" s="84"/>
      <c r="AB86" s="101" t="s">
        <v>295</v>
      </c>
      <c r="AE86" s="116" t="s">
        <v>162</v>
      </c>
      <c r="AF86" s="119" t="str">
        <f t="shared" ref="AF86:AF91" si="53">MID(AE86,FIND("(",AE86)+1,1)</f>
        <v>1</v>
      </c>
      <c r="AG86" s="119" t="str">
        <f t="shared" ref="AG86:AG91" si="54">MID(AE86,FIND("(",AE86)+3,1)</f>
        <v>2</v>
      </c>
      <c r="AH86" s="119">
        <f t="shared" si="40"/>
        <v>4</v>
      </c>
      <c r="AI86" s="120">
        <f t="shared" ref="AI86:AI91" si="55">FIND(")",AE86)</f>
        <v>7</v>
      </c>
      <c r="AJ86" s="120">
        <f t="shared" ref="AJ86:AJ91" si="56">FIND(",)",AE86)</f>
        <v>6</v>
      </c>
      <c r="AK86" s="119" t="str">
        <f t="shared" ref="AK86:AK91" si="57">LEFT(AE86,AJ86)</f>
        <v>3(1,2,</v>
      </c>
      <c r="AL86" s="119" t="str">
        <f t="shared" si="32"/>
        <v>3(1,2,4)</v>
      </c>
      <c r="AM86" s="116" t="s">
        <v>162</v>
      </c>
      <c r="AN86" s="119" t="str">
        <f t="shared" si="47"/>
        <v>3(1,2,4)</v>
      </c>
      <c r="AO86" s="119">
        <f t="shared" si="45"/>
        <v>1</v>
      </c>
      <c r="AP86" s="119">
        <f t="shared" si="46"/>
        <v>7</v>
      </c>
    </row>
    <row r="87" spans="1:42" s="100" customFormat="1" ht="12" x14ac:dyDescent="0.2">
      <c r="A87" s="104">
        <f>SUBTOTAL(3,B$9:$B87)</f>
        <v>78</v>
      </c>
      <c r="B87" s="101" t="s">
        <v>30</v>
      </c>
      <c r="C87" s="101" t="s">
        <v>253</v>
      </c>
      <c r="D87" s="101" t="s">
        <v>253</v>
      </c>
      <c r="E87" s="115" t="s">
        <v>251</v>
      </c>
      <c r="F87" s="121" t="s">
        <v>250</v>
      </c>
      <c r="G87" s="107"/>
      <c r="H87" s="103" t="s">
        <v>129</v>
      </c>
      <c r="I87" s="116" t="s">
        <v>113</v>
      </c>
      <c r="J87" s="123">
        <v>0</v>
      </c>
      <c r="K87" s="123">
        <v>75</v>
      </c>
      <c r="L87" s="101"/>
      <c r="M87" s="108" t="s">
        <v>74</v>
      </c>
      <c r="N87" s="101"/>
      <c r="O87" s="101" t="s">
        <v>33</v>
      </c>
      <c r="P87" s="87"/>
      <c r="Q87" s="105"/>
      <c r="R87" s="102"/>
      <c r="S87" s="101"/>
      <c r="T87" s="82"/>
      <c r="U87" s="82"/>
      <c r="V87" s="82"/>
      <c r="W87" s="84"/>
      <c r="X87" s="82"/>
      <c r="Y87" s="82"/>
      <c r="Z87" s="101"/>
      <c r="AA87" s="84"/>
      <c r="AB87" s="101" t="s">
        <v>295</v>
      </c>
      <c r="AE87" s="116" t="s">
        <v>162</v>
      </c>
      <c r="AF87" s="119" t="str">
        <f t="shared" si="53"/>
        <v>1</v>
      </c>
      <c r="AG87" s="119" t="str">
        <f t="shared" si="54"/>
        <v>2</v>
      </c>
      <c r="AH87" s="119">
        <f t="shared" si="40"/>
        <v>4</v>
      </c>
      <c r="AI87" s="120">
        <f t="shared" si="55"/>
        <v>7</v>
      </c>
      <c r="AJ87" s="120">
        <f t="shared" si="56"/>
        <v>6</v>
      </c>
      <c r="AK87" s="119" t="str">
        <f t="shared" si="57"/>
        <v>3(1,2,</v>
      </c>
      <c r="AL87" s="119" t="str">
        <f t="shared" si="32"/>
        <v>3(1,2,4)</v>
      </c>
      <c r="AM87" s="116" t="s">
        <v>162</v>
      </c>
      <c r="AN87" s="119" t="str">
        <f t="shared" si="47"/>
        <v>3(1,2,4)</v>
      </c>
      <c r="AO87" s="119">
        <f t="shared" si="45"/>
        <v>1</v>
      </c>
      <c r="AP87" s="119">
        <f t="shared" si="46"/>
        <v>7</v>
      </c>
    </row>
    <row r="88" spans="1:42" s="100" customFormat="1" ht="12" x14ac:dyDescent="0.2">
      <c r="A88" s="104">
        <f>SUBTOTAL(3,B$9:$B88)</f>
        <v>79</v>
      </c>
      <c r="B88" s="101" t="s">
        <v>30</v>
      </c>
      <c r="C88" s="101" t="s">
        <v>253</v>
      </c>
      <c r="D88" s="101" t="s">
        <v>253</v>
      </c>
      <c r="E88" s="115" t="s">
        <v>158</v>
      </c>
      <c r="F88" s="121" t="s">
        <v>252</v>
      </c>
      <c r="G88" s="107"/>
      <c r="H88" s="103" t="s">
        <v>129</v>
      </c>
      <c r="I88" s="116" t="s">
        <v>111</v>
      </c>
      <c r="J88" s="123">
        <v>60</v>
      </c>
      <c r="K88" s="123">
        <v>0</v>
      </c>
      <c r="L88" s="108" t="s">
        <v>74</v>
      </c>
      <c r="M88" s="101"/>
      <c r="N88" s="101"/>
      <c r="O88" s="101" t="s">
        <v>33</v>
      </c>
      <c r="P88" s="87"/>
      <c r="Q88" s="105"/>
      <c r="R88" s="102"/>
      <c r="S88" s="101"/>
      <c r="T88" s="82"/>
      <c r="U88" s="82"/>
      <c r="V88" s="82"/>
      <c r="W88" s="84"/>
      <c r="X88" s="82"/>
      <c r="Y88" s="82"/>
      <c r="Z88" s="101"/>
      <c r="AA88" s="84"/>
      <c r="AB88" s="101" t="s">
        <v>295</v>
      </c>
      <c r="AE88" s="116" t="s">
        <v>177</v>
      </c>
      <c r="AF88" s="119" t="str">
        <f t="shared" si="53"/>
        <v>2</v>
      </c>
      <c r="AG88" s="119" t="str">
        <f t="shared" si="54"/>
        <v>1</v>
      </c>
      <c r="AH88" s="119">
        <f t="shared" si="40"/>
        <v>5</v>
      </c>
      <c r="AI88" s="120">
        <f t="shared" si="55"/>
        <v>7</v>
      </c>
      <c r="AJ88" s="120">
        <f t="shared" si="56"/>
        <v>6</v>
      </c>
      <c r="AK88" s="119" t="str">
        <f t="shared" si="57"/>
        <v>3(2,1,</v>
      </c>
      <c r="AL88" s="119" t="str">
        <f t="shared" si="32"/>
        <v>3(2,1,5)</v>
      </c>
      <c r="AM88" s="116" t="s">
        <v>177</v>
      </c>
      <c r="AN88" s="119" t="str">
        <f t="shared" si="47"/>
        <v>3(2,1,5)</v>
      </c>
      <c r="AO88" s="119">
        <f t="shared" si="45"/>
        <v>1</v>
      </c>
      <c r="AP88" s="119">
        <f t="shared" si="46"/>
        <v>7</v>
      </c>
    </row>
    <row r="89" spans="1:42" s="100" customFormat="1" ht="12" x14ac:dyDescent="0.2">
      <c r="A89" s="104">
        <f>SUBTOTAL(3,B$9:$B89)</f>
        <v>80</v>
      </c>
      <c r="B89" s="101" t="s">
        <v>30</v>
      </c>
      <c r="C89" s="101" t="s">
        <v>253</v>
      </c>
      <c r="D89" s="101" t="s">
        <v>253</v>
      </c>
      <c r="E89" s="115" t="s">
        <v>107</v>
      </c>
      <c r="F89" s="121" t="s">
        <v>240</v>
      </c>
      <c r="G89" s="107"/>
      <c r="H89" s="129" t="s">
        <v>36</v>
      </c>
      <c r="I89" s="116" t="s">
        <v>119</v>
      </c>
      <c r="J89" s="123">
        <v>90</v>
      </c>
      <c r="K89" s="123">
        <v>0</v>
      </c>
      <c r="L89" s="108" t="s">
        <v>74</v>
      </c>
      <c r="M89" s="101"/>
      <c r="N89" s="101"/>
      <c r="O89" s="101" t="s">
        <v>33</v>
      </c>
      <c r="P89" s="87"/>
      <c r="Q89" s="105"/>
      <c r="R89" s="102"/>
      <c r="S89" s="101"/>
      <c r="T89" s="82"/>
      <c r="U89" s="82"/>
      <c r="V89" s="82"/>
      <c r="W89" s="84"/>
      <c r="X89" s="82"/>
      <c r="Y89" s="82"/>
      <c r="Z89" s="101"/>
      <c r="AA89" s="84"/>
      <c r="AB89" s="101" t="s">
        <v>295</v>
      </c>
      <c r="AE89" s="116" t="s">
        <v>241</v>
      </c>
      <c r="AF89" s="119" t="str">
        <f t="shared" si="53"/>
        <v>0</v>
      </c>
      <c r="AG89" s="119" t="str">
        <f t="shared" si="54"/>
        <v>3</v>
      </c>
      <c r="AH89" s="119">
        <f t="shared" si="40"/>
        <v>3</v>
      </c>
      <c r="AI89" s="120">
        <f t="shared" si="55"/>
        <v>7</v>
      </c>
      <c r="AJ89" s="120">
        <f t="shared" si="56"/>
        <v>6</v>
      </c>
      <c r="AK89" s="119" t="str">
        <f t="shared" si="57"/>
        <v>3(0,3,</v>
      </c>
      <c r="AL89" s="119" t="str">
        <f t="shared" si="32"/>
        <v>3(0,3,3)</v>
      </c>
      <c r="AM89" s="116" t="s">
        <v>241</v>
      </c>
      <c r="AN89" s="119" t="str">
        <f t="shared" si="47"/>
        <v>3(0,3,3)</v>
      </c>
      <c r="AO89" s="119">
        <f t="shared" si="45"/>
        <v>1</v>
      </c>
      <c r="AP89" s="119">
        <f t="shared" si="46"/>
        <v>7</v>
      </c>
    </row>
    <row r="90" spans="1:42" s="100" customFormat="1" ht="12" x14ac:dyDescent="0.2">
      <c r="A90" s="104">
        <f>SUBTOTAL(3,B$9:$B90)</f>
        <v>81</v>
      </c>
      <c r="B90" s="101" t="s">
        <v>30</v>
      </c>
      <c r="C90" s="101" t="s">
        <v>253</v>
      </c>
      <c r="D90" s="101" t="s">
        <v>253</v>
      </c>
      <c r="E90" s="115" t="s">
        <v>124</v>
      </c>
      <c r="F90" s="121" t="s">
        <v>242</v>
      </c>
      <c r="G90" s="107"/>
      <c r="H90" s="103" t="s">
        <v>129</v>
      </c>
      <c r="I90" s="116" t="s">
        <v>110</v>
      </c>
      <c r="J90" s="123">
        <v>45</v>
      </c>
      <c r="K90" s="123">
        <v>0</v>
      </c>
      <c r="L90" s="108" t="s">
        <v>74</v>
      </c>
      <c r="M90" s="101"/>
      <c r="N90" s="101"/>
      <c r="O90" s="101" t="s">
        <v>33</v>
      </c>
      <c r="P90" s="87"/>
      <c r="Q90" s="105"/>
      <c r="R90" s="102"/>
      <c r="S90" s="101"/>
      <c r="T90" s="82"/>
      <c r="U90" s="82"/>
      <c r="V90" s="82"/>
      <c r="W90" s="84"/>
      <c r="X90" s="82"/>
      <c r="Y90" s="82"/>
      <c r="Z90" s="101"/>
      <c r="AA90" s="84"/>
      <c r="AB90" s="101" t="s">
        <v>295</v>
      </c>
      <c r="AE90" s="116" t="s">
        <v>195</v>
      </c>
      <c r="AF90" s="119" t="str">
        <f t="shared" si="53"/>
        <v>1</v>
      </c>
      <c r="AG90" s="119" t="str">
        <f t="shared" si="54"/>
        <v>1</v>
      </c>
      <c r="AH90" s="119">
        <f t="shared" si="40"/>
        <v>3</v>
      </c>
      <c r="AI90" s="120">
        <f t="shared" si="55"/>
        <v>7</v>
      </c>
      <c r="AJ90" s="120">
        <f t="shared" si="56"/>
        <v>6</v>
      </c>
      <c r="AK90" s="119" t="str">
        <f t="shared" si="57"/>
        <v>2(1,1,</v>
      </c>
      <c r="AL90" s="119" t="str">
        <f t="shared" si="32"/>
        <v>2(1,1,3)</v>
      </c>
      <c r="AM90" s="116" t="s">
        <v>195</v>
      </c>
      <c r="AN90" s="119" t="str">
        <f t="shared" si="47"/>
        <v>2(1,1,3)</v>
      </c>
      <c r="AO90" s="119">
        <f t="shared" si="45"/>
        <v>1</v>
      </c>
      <c r="AP90" s="119">
        <f t="shared" si="46"/>
        <v>7</v>
      </c>
    </row>
    <row r="91" spans="1:42" s="100" customFormat="1" ht="24" x14ac:dyDescent="0.2">
      <c r="A91" s="104">
        <f>SUBTOTAL(3,B$9:$B91)</f>
        <v>82</v>
      </c>
      <c r="B91" s="101" t="s">
        <v>30</v>
      </c>
      <c r="C91" s="101" t="s">
        <v>253</v>
      </c>
      <c r="D91" s="101" t="s">
        <v>253</v>
      </c>
      <c r="E91" s="115" t="s">
        <v>247</v>
      </c>
      <c r="F91" s="121" t="s">
        <v>243</v>
      </c>
      <c r="G91" s="107"/>
      <c r="H91" s="129" t="s">
        <v>123</v>
      </c>
      <c r="I91" s="116" t="s">
        <v>110</v>
      </c>
      <c r="J91" s="123">
        <v>45</v>
      </c>
      <c r="K91" s="123">
        <v>0</v>
      </c>
      <c r="L91" s="108" t="s">
        <v>74</v>
      </c>
      <c r="M91" s="101"/>
      <c r="N91" s="101"/>
      <c r="O91" s="101" t="s">
        <v>33</v>
      </c>
      <c r="P91" s="87"/>
      <c r="Q91" s="105"/>
      <c r="R91" s="102"/>
      <c r="S91" s="101"/>
      <c r="T91" s="82"/>
      <c r="U91" s="82"/>
      <c r="V91" s="82"/>
      <c r="W91" s="84"/>
      <c r="X91" s="82"/>
      <c r="Y91" s="82"/>
      <c r="Z91" s="101"/>
      <c r="AA91" s="84"/>
      <c r="AB91" s="101" t="s">
        <v>295</v>
      </c>
      <c r="AE91" s="116" t="s">
        <v>195</v>
      </c>
      <c r="AF91" s="119" t="str">
        <f t="shared" si="53"/>
        <v>1</v>
      </c>
      <c r="AG91" s="119" t="str">
        <f t="shared" si="54"/>
        <v>1</v>
      </c>
      <c r="AH91" s="119">
        <f t="shared" si="40"/>
        <v>3</v>
      </c>
      <c r="AI91" s="120">
        <f t="shared" si="55"/>
        <v>7</v>
      </c>
      <c r="AJ91" s="120">
        <f t="shared" si="56"/>
        <v>6</v>
      </c>
      <c r="AK91" s="119" t="str">
        <f t="shared" si="57"/>
        <v>2(1,1,</v>
      </c>
      <c r="AL91" s="119" t="str">
        <f t="shared" si="32"/>
        <v>2(1,1,3)</v>
      </c>
      <c r="AM91" s="116" t="s">
        <v>195</v>
      </c>
      <c r="AN91" s="119" t="str">
        <f t="shared" si="47"/>
        <v>2(1,1,3)</v>
      </c>
      <c r="AO91" s="119">
        <f t="shared" si="45"/>
        <v>1</v>
      </c>
      <c r="AP91" s="119">
        <f t="shared" si="46"/>
        <v>7</v>
      </c>
    </row>
    <row r="92" spans="1:42" x14ac:dyDescent="0.2">
      <c r="A92" s="104">
        <f>SUBTOTAL(3,B$9:$B92)</f>
        <v>83</v>
      </c>
      <c r="B92" s="101" t="s">
        <v>30</v>
      </c>
      <c r="C92" s="82"/>
      <c r="D92" s="84"/>
      <c r="E92" s="83"/>
      <c r="F92" s="83"/>
      <c r="G92" s="85"/>
      <c r="H92" s="84"/>
      <c r="I92" s="82"/>
      <c r="J92" s="82"/>
      <c r="K92" s="82"/>
      <c r="L92" s="82"/>
      <c r="M92" s="82"/>
      <c r="N92" s="82"/>
      <c r="O92" s="82"/>
      <c r="P92" s="87"/>
      <c r="Q92" s="87"/>
      <c r="R92" s="84"/>
      <c r="S92" s="82"/>
      <c r="T92" s="82"/>
      <c r="U92" s="82"/>
      <c r="V92" s="82"/>
      <c r="W92" s="84"/>
      <c r="X92" s="82"/>
      <c r="Y92" s="82"/>
      <c r="Z92" s="82"/>
      <c r="AA92" s="84"/>
      <c r="AB92" s="101" t="s">
        <v>295</v>
      </c>
      <c r="AE92" s="2"/>
      <c r="AF92" s="90"/>
      <c r="AG92" s="90"/>
      <c r="AH92" s="90"/>
      <c r="AI92" s="99"/>
      <c r="AJ92" s="99"/>
      <c r="AK92" s="90"/>
      <c r="AL92" s="90"/>
      <c r="AM92" s="2"/>
      <c r="AN92" s="90">
        <f t="shared" si="47"/>
        <v>0</v>
      </c>
      <c r="AO92" s="90">
        <f t="shared" si="45"/>
        <v>1</v>
      </c>
      <c r="AP92" s="90" t="e">
        <f t="shared" si="46"/>
        <v>#VALUE!</v>
      </c>
    </row>
    <row r="93" spans="1:42" s="100" customFormat="1" ht="12" x14ac:dyDescent="0.2">
      <c r="A93" s="104">
        <f>SUBTOTAL(3,B$9:$B93)</f>
        <v>84</v>
      </c>
      <c r="B93" s="101" t="s">
        <v>30</v>
      </c>
      <c r="C93" s="101" t="s">
        <v>258</v>
      </c>
      <c r="D93" s="101" t="s">
        <v>258</v>
      </c>
      <c r="E93" s="115" t="s">
        <v>148</v>
      </c>
      <c r="F93" s="121" t="s">
        <v>255</v>
      </c>
      <c r="G93" s="101"/>
      <c r="H93" s="103" t="s">
        <v>129</v>
      </c>
      <c r="I93" s="116" t="s">
        <v>111</v>
      </c>
      <c r="J93" s="123">
        <v>60</v>
      </c>
      <c r="K93" s="123">
        <v>0</v>
      </c>
      <c r="L93" s="110" t="s">
        <v>74</v>
      </c>
      <c r="M93" s="117"/>
      <c r="N93" s="118"/>
      <c r="O93" s="101" t="s">
        <v>33</v>
      </c>
      <c r="P93" s="87"/>
      <c r="Q93" s="105">
        <v>27</v>
      </c>
      <c r="R93" s="102" t="s">
        <v>257</v>
      </c>
      <c r="S93" s="101"/>
      <c r="T93" s="82"/>
      <c r="U93" s="82"/>
      <c r="V93" s="82"/>
      <c r="W93" s="84"/>
      <c r="X93" s="82"/>
      <c r="Y93" s="82"/>
      <c r="Z93" s="101"/>
      <c r="AA93" s="84"/>
      <c r="AB93" s="101" t="s">
        <v>295</v>
      </c>
      <c r="AE93" s="116" t="s">
        <v>177</v>
      </c>
      <c r="AF93" s="119" t="str">
        <f t="shared" ref="AF93:AF98" si="58">MID(AE93,FIND("(",AE93)+1,1)</f>
        <v>2</v>
      </c>
      <c r="AG93" s="119" t="str">
        <f t="shared" ref="AG93:AG98" si="59">MID(AE93,FIND("(",AE93)+3,1)</f>
        <v>1</v>
      </c>
      <c r="AH93" s="119">
        <f t="shared" si="40"/>
        <v>5</v>
      </c>
      <c r="AI93" s="120">
        <f t="shared" ref="AI93:AI98" si="60">FIND(")",AE93)</f>
        <v>7</v>
      </c>
      <c r="AJ93" s="120">
        <f t="shared" ref="AJ93:AJ98" si="61">FIND(",)",AE93)</f>
        <v>6</v>
      </c>
      <c r="AK93" s="119" t="str">
        <f t="shared" ref="AK93:AK98" si="62">LEFT(AE93,AJ93)</f>
        <v>3(2,1,</v>
      </c>
      <c r="AL93" s="119" t="str">
        <f t="shared" si="32"/>
        <v>3(2,1,5)</v>
      </c>
      <c r="AM93" s="116" t="s">
        <v>177</v>
      </c>
      <c r="AN93" s="119" t="str">
        <f t="shared" si="47"/>
        <v>3(2,1,5)</v>
      </c>
      <c r="AO93" s="119">
        <f t="shared" si="45"/>
        <v>1</v>
      </c>
      <c r="AP93" s="119">
        <f t="shared" si="46"/>
        <v>7</v>
      </c>
    </row>
    <row r="94" spans="1:42" s="100" customFormat="1" ht="12" x14ac:dyDescent="0.2">
      <c r="A94" s="104">
        <f>SUBTOTAL(3,B$9:$B94)</f>
        <v>85</v>
      </c>
      <c r="B94" s="101" t="s">
        <v>30</v>
      </c>
      <c r="C94" s="101" t="s">
        <v>258</v>
      </c>
      <c r="D94" s="101" t="s">
        <v>258</v>
      </c>
      <c r="E94" s="115" t="s">
        <v>149</v>
      </c>
      <c r="F94" s="121" t="s">
        <v>239</v>
      </c>
      <c r="G94" s="101"/>
      <c r="H94" s="103" t="s">
        <v>129</v>
      </c>
      <c r="I94" s="116" t="s">
        <v>118</v>
      </c>
      <c r="J94" s="123">
        <v>90</v>
      </c>
      <c r="K94" s="123">
        <v>0</v>
      </c>
      <c r="L94" s="110" t="s">
        <v>74</v>
      </c>
      <c r="M94" s="117"/>
      <c r="N94" s="118"/>
      <c r="O94" s="101" t="s">
        <v>33</v>
      </c>
      <c r="P94" s="87"/>
      <c r="Q94" s="105"/>
      <c r="R94" s="102"/>
      <c r="S94" s="101"/>
      <c r="T94" s="82"/>
      <c r="U94" s="82"/>
      <c r="V94" s="82"/>
      <c r="W94" s="84"/>
      <c r="X94" s="82"/>
      <c r="Y94" s="82"/>
      <c r="Z94" s="101"/>
      <c r="AA94" s="84"/>
      <c r="AB94" s="101" t="s">
        <v>295</v>
      </c>
      <c r="AE94" s="116" t="s">
        <v>185</v>
      </c>
      <c r="AF94" s="119" t="str">
        <f t="shared" si="58"/>
        <v>2</v>
      </c>
      <c r="AG94" s="119" t="str">
        <f t="shared" si="59"/>
        <v>2</v>
      </c>
      <c r="AH94" s="119">
        <f t="shared" si="40"/>
        <v>6</v>
      </c>
      <c r="AI94" s="120">
        <f t="shared" si="60"/>
        <v>7</v>
      </c>
      <c r="AJ94" s="120">
        <f t="shared" si="61"/>
        <v>6</v>
      </c>
      <c r="AK94" s="119" t="str">
        <f t="shared" si="62"/>
        <v>4(2,2,</v>
      </c>
      <c r="AL94" s="119" t="str">
        <f t="shared" si="32"/>
        <v>4(2,2,6)</v>
      </c>
      <c r="AM94" s="116" t="s">
        <v>185</v>
      </c>
      <c r="AN94" s="119" t="str">
        <f t="shared" si="47"/>
        <v>4(2,2,6)</v>
      </c>
      <c r="AO94" s="119">
        <f t="shared" si="45"/>
        <v>1</v>
      </c>
      <c r="AP94" s="119">
        <f t="shared" si="46"/>
        <v>7</v>
      </c>
    </row>
    <row r="95" spans="1:42" s="100" customFormat="1" ht="24" x14ac:dyDescent="0.2">
      <c r="A95" s="104">
        <f>SUBTOTAL(3,B$9:$B95)</f>
        <v>86</v>
      </c>
      <c r="B95" s="101" t="s">
        <v>30</v>
      </c>
      <c r="C95" s="101" t="s">
        <v>258</v>
      </c>
      <c r="D95" s="101" t="s">
        <v>258</v>
      </c>
      <c r="E95" s="115" t="s">
        <v>141</v>
      </c>
      <c r="F95" s="121" t="s">
        <v>256</v>
      </c>
      <c r="G95" s="101"/>
      <c r="H95" s="103" t="s">
        <v>129</v>
      </c>
      <c r="I95" s="116" t="s">
        <v>113</v>
      </c>
      <c r="J95" s="123">
        <v>75</v>
      </c>
      <c r="K95" s="123">
        <v>0</v>
      </c>
      <c r="L95" s="110" t="s">
        <v>74</v>
      </c>
      <c r="M95" s="117"/>
      <c r="N95" s="118"/>
      <c r="O95" s="101" t="s">
        <v>33</v>
      </c>
      <c r="P95" s="87"/>
      <c r="Q95" s="105"/>
      <c r="R95" s="102"/>
      <c r="S95" s="101"/>
      <c r="T95" s="82"/>
      <c r="U95" s="82"/>
      <c r="V95" s="82"/>
      <c r="W95" s="84"/>
      <c r="X95" s="82"/>
      <c r="Y95" s="82"/>
      <c r="Z95" s="101"/>
      <c r="AA95" s="84"/>
      <c r="AB95" s="101" t="s">
        <v>295</v>
      </c>
      <c r="AE95" s="116" t="s">
        <v>162</v>
      </c>
      <c r="AF95" s="119" t="str">
        <f t="shared" si="58"/>
        <v>1</v>
      </c>
      <c r="AG95" s="119" t="str">
        <f t="shared" si="59"/>
        <v>2</v>
      </c>
      <c r="AH95" s="119">
        <f t="shared" si="40"/>
        <v>4</v>
      </c>
      <c r="AI95" s="120">
        <f t="shared" si="60"/>
        <v>7</v>
      </c>
      <c r="AJ95" s="120">
        <f t="shared" si="61"/>
        <v>6</v>
      </c>
      <c r="AK95" s="119" t="str">
        <f t="shared" si="62"/>
        <v>3(1,2,</v>
      </c>
      <c r="AL95" s="119" t="str">
        <f t="shared" si="32"/>
        <v>3(1,2,4)</v>
      </c>
      <c r="AM95" s="116" t="s">
        <v>162</v>
      </c>
      <c r="AN95" s="119" t="str">
        <f t="shared" si="47"/>
        <v>3(1,2,4)</v>
      </c>
      <c r="AO95" s="119">
        <f t="shared" si="45"/>
        <v>1</v>
      </c>
      <c r="AP95" s="119">
        <f t="shared" si="46"/>
        <v>7</v>
      </c>
    </row>
    <row r="96" spans="1:42" s="100" customFormat="1" ht="12" x14ac:dyDescent="0.2">
      <c r="A96" s="104">
        <f>SUBTOTAL(3,B$9:$B96)</f>
        <v>87</v>
      </c>
      <c r="B96" s="101" t="s">
        <v>30</v>
      </c>
      <c r="C96" s="101" t="s">
        <v>258</v>
      </c>
      <c r="D96" s="101" t="s">
        <v>258</v>
      </c>
      <c r="E96" s="115" t="s">
        <v>107</v>
      </c>
      <c r="F96" s="121" t="s">
        <v>240</v>
      </c>
      <c r="G96" s="101"/>
      <c r="H96" s="129" t="s">
        <v>36</v>
      </c>
      <c r="I96" s="116" t="s">
        <v>119</v>
      </c>
      <c r="J96" s="123">
        <v>90</v>
      </c>
      <c r="K96" s="123">
        <v>0</v>
      </c>
      <c r="L96" s="110" t="s">
        <v>74</v>
      </c>
      <c r="M96" s="117"/>
      <c r="N96" s="118"/>
      <c r="O96" s="101" t="s">
        <v>33</v>
      </c>
      <c r="P96" s="87"/>
      <c r="Q96" s="105"/>
      <c r="R96" s="102"/>
      <c r="S96" s="101"/>
      <c r="T96" s="82"/>
      <c r="U96" s="82"/>
      <c r="V96" s="82"/>
      <c r="W96" s="84"/>
      <c r="X96" s="82"/>
      <c r="Y96" s="82"/>
      <c r="Z96" s="101"/>
      <c r="AA96" s="84"/>
      <c r="AB96" s="101" t="s">
        <v>295</v>
      </c>
      <c r="AE96" s="116" t="s">
        <v>241</v>
      </c>
      <c r="AF96" s="119" t="str">
        <f t="shared" si="58"/>
        <v>0</v>
      </c>
      <c r="AG96" s="119" t="str">
        <f t="shared" si="59"/>
        <v>3</v>
      </c>
      <c r="AH96" s="119">
        <f t="shared" si="40"/>
        <v>3</v>
      </c>
      <c r="AI96" s="120">
        <f t="shared" si="60"/>
        <v>7</v>
      </c>
      <c r="AJ96" s="120">
        <f t="shared" si="61"/>
        <v>6</v>
      </c>
      <c r="AK96" s="119" t="str">
        <f t="shared" si="62"/>
        <v>3(0,3,</v>
      </c>
      <c r="AL96" s="119" t="str">
        <f t="shared" si="32"/>
        <v>3(0,3,3)</v>
      </c>
      <c r="AM96" s="116" t="s">
        <v>241</v>
      </c>
      <c r="AN96" s="119" t="str">
        <f t="shared" si="47"/>
        <v>3(0,3,3)</v>
      </c>
      <c r="AO96" s="119">
        <f t="shared" si="45"/>
        <v>1</v>
      </c>
      <c r="AP96" s="119">
        <f t="shared" si="46"/>
        <v>7</v>
      </c>
    </row>
    <row r="97" spans="1:42" s="100" customFormat="1" ht="12" x14ac:dyDescent="0.2">
      <c r="A97" s="104">
        <f>SUBTOTAL(3,B$9:$B97)</f>
        <v>88</v>
      </c>
      <c r="B97" s="101" t="s">
        <v>30</v>
      </c>
      <c r="C97" s="101" t="s">
        <v>258</v>
      </c>
      <c r="D97" s="101" t="s">
        <v>258</v>
      </c>
      <c r="E97" s="115" t="s">
        <v>124</v>
      </c>
      <c r="F97" s="121" t="s">
        <v>242</v>
      </c>
      <c r="G97" s="101"/>
      <c r="H97" s="103" t="s">
        <v>129</v>
      </c>
      <c r="I97" s="116" t="s">
        <v>110</v>
      </c>
      <c r="J97" s="123">
        <v>45</v>
      </c>
      <c r="K97" s="123">
        <v>0</v>
      </c>
      <c r="L97" s="110" t="s">
        <v>74</v>
      </c>
      <c r="M97" s="117"/>
      <c r="N97" s="118"/>
      <c r="O97" s="101" t="s">
        <v>33</v>
      </c>
      <c r="P97" s="87"/>
      <c r="Q97" s="105"/>
      <c r="R97" s="102"/>
      <c r="S97" s="101"/>
      <c r="T97" s="82"/>
      <c r="U97" s="82"/>
      <c r="V97" s="82"/>
      <c r="W97" s="84"/>
      <c r="X97" s="82"/>
      <c r="Y97" s="82"/>
      <c r="Z97" s="101"/>
      <c r="AA97" s="84"/>
      <c r="AB97" s="101" t="s">
        <v>295</v>
      </c>
      <c r="AE97" s="116" t="s">
        <v>195</v>
      </c>
      <c r="AF97" s="119" t="str">
        <f t="shared" si="58"/>
        <v>1</v>
      </c>
      <c r="AG97" s="119" t="str">
        <f t="shared" si="59"/>
        <v>1</v>
      </c>
      <c r="AH97" s="119">
        <f t="shared" si="40"/>
        <v>3</v>
      </c>
      <c r="AI97" s="120">
        <f t="shared" si="60"/>
        <v>7</v>
      </c>
      <c r="AJ97" s="120">
        <f t="shared" si="61"/>
        <v>6</v>
      </c>
      <c r="AK97" s="119" t="str">
        <f t="shared" si="62"/>
        <v>2(1,1,</v>
      </c>
      <c r="AL97" s="119" t="str">
        <f t="shared" si="32"/>
        <v>2(1,1,3)</v>
      </c>
      <c r="AM97" s="116" t="s">
        <v>195</v>
      </c>
      <c r="AN97" s="119" t="str">
        <f t="shared" si="47"/>
        <v>2(1,1,3)</v>
      </c>
      <c r="AO97" s="119">
        <f t="shared" si="45"/>
        <v>1</v>
      </c>
      <c r="AP97" s="119">
        <f t="shared" si="46"/>
        <v>7</v>
      </c>
    </row>
    <row r="98" spans="1:42" s="100" customFormat="1" ht="24" x14ac:dyDescent="0.2">
      <c r="A98" s="104">
        <f>SUBTOTAL(3,B$9:$B98)</f>
        <v>89</v>
      </c>
      <c r="B98" s="101" t="s">
        <v>30</v>
      </c>
      <c r="C98" s="101" t="s">
        <v>258</v>
      </c>
      <c r="D98" s="101" t="s">
        <v>258</v>
      </c>
      <c r="E98" s="115" t="s">
        <v>247</v>
      </c>
      <c r="F98" s="121" t="s">
        <v>243</v>
      </c>
      <c r="G98" s="101"/>
      <c r="H98" s="129" t="s">
        <v>123</v>
      </c>
      <c r="I98" s="116" t="s">
        <v>110</v>
      </c>
      <c r="J98" s="123">
        <v>45</v>
      </c>
      <c r="K98" s="123">
        <v>0</v>
      </c>
      <c r="L98" s="110" t="s">
        <v>74</v>
      </c>
      <c r="M98" s="117"/>
      <c r="N98" s="118"/>
      <c r="O98" s="101" t="s">
        <v>33</v>
      </c>
      <c r="P98" s="87"/>
      <c r="Q98" s="105"/>
      <c r="R98" s="102"/>
      <c r="S98" s="101"/>
      <c r="T98" s="82"/>
      <c r="U98" s="82"/>
      <c r="V98" s="82"/>
      <c r="W98" s="84"/>
      <c r="X98" s="82"/>
      <c r="Y98" s="82"/>
      <c r="Z98" s="101"/>
      <c r="AA98" s="84"/>
      <c r="AB98" s="101" t="s">
        <v>295</v>
      </c>
      <c r="AE98" s="116" t="s">
        <v>195</v>
      </c>
      <c r="AF98" s="119" t="str">
        <f t="shared" si="58"/>
        <v>1</v>
      </c>
      <c r="AG98" s="119" t="str">
        <f t="shared" si="59"/>
        <v>1</v>
      </c>
      <c r="AH98" s="119">
        <f t="shared" si="40"/>
        <v>3</v>
      </c>
      <c r="AI98" s="120">
        <f t="shared" si="60"/>
        <v>7</v>
      </c>
      <c r="AJ98" s="120">
        <f t="shared" si="61"/>
        <v>6</v>
      </c>
      <c r="AK98" s="119" t="str">
        <f t="shared" si="62"/>
        <v>2(1,1,</v>
      </c>
      <c r="AL98" s="119" t="str">
        <f t="shared" si="32"/>
        <v>2(1,1,3)</v>
      </c>
      <c r="AM98" s="116" t="s">
        <v>195</v>
      </c>
      <c r="AN98" s="119" t="str">
        <f t="shared" si="47"/>
        <v>2(1,1,3)</v>
      </c>
      <c r="AO98" s="119">
        <f t="shared" si="45"/>
        <v>1</v>
      </c>
      <c r="AP98" s="119">
        <f t="shared" si="46"/>
        <v>7</v>
      </c>
    </row>
    <row r="99" spans="1:42" x14ac:dyDescent="0.2">
      <c r="A99" s="104">
        <f>SUBTOTAL(3,B$9:$B99)</f>
        <v>90</v>
      </c>
      <c r="B99" s="101" t="s">
        <v>30</v>
      </c>
      <c r="C99" s="82"/>
      <c r="D99" s="84"/>
      <c r="E99" s="83"/>
      <c r="F99" s="83"/>
      <c r="G99" s="85"/>
      <c r="H99" s="84"/>
      <c r="I99" s="82"/>
      <c r="J99" s="82"/>
      <c r="K99" s="82"/>
      <c r="L99" s="82"/>
      <c r="M99" s="82"/>
      <c r="N99" s="82"/>
      <c r="O99" s="82"/>
      <c r="P99" s="87"/>
      <c r="Q99" s="87"/>
      <c r="R99" s="84"/>
      <c r="S99" s="82"/>
      <c r="T99" s="82"/>
      <c r="U99" s="82"/>
      <c r="V99" s="82"/>
      <c r="W99" s="84"/>
      <c r="X99" s="82"/>
      <c r="Y99" s="82"/>
      <c r="Z99" s="82"/>
      <c r="AA99" s="84"/>
      <c r="AB99" s="82"/>
      <c r="AE99" s="2"/>
      <c r="AF99" s="90"/>
      <c r="AG99" s="90"/>
      <c r="AH99" s="90"/>
      <c r="AI99" s="99"/>
      <c r="AJ99" s="99"/>
      <c r="AK99" s="90"/>
      <c r="AL99" s="90"/>
      <c r="AM99" s="2"/>
      <c r="AN99" s="90">
        <f t="shared" si="47"/>
        <v>0</v>
      </c>
      <c r="AO99" s="90">
        <f t="shared" si="45"/>
        <v>1</v>
      </c>
      <c r="AP99" s="90" t="e">
        <f t="shared" si="46"/>
        <v>#VALUE!</v>
      </c>
    </row>
    <row r="100" spans="1:42" s="100" customFormat="1" ht="24" x14ac:dyDescent="0.2">
      <c r="A100" s="104">
        <f>SUBTOTAL(3,B$9:$B100)</f>
        <v>91</v>
      </c>
      <c r="B100" s="109" t="s">
        <v>30</v>
      </c>
      <c r="C100" s="109" t="s">
        <v>244</v>
      </c>
      <c r="D100" s="109" t="s">
        <v>244</v>
      </c>
      <c r="E100" s="115" t="s">
        <v>201</v>
      </c>
      <c r="F100" s="121" t="s">
        <v>259</v>
      </c>
      <c r="G100" s="101"/>
      <c r="H100" s="103" t="s">
        <v>129</v>
      </c>
      <c r="I100" s="116" t="s">
        <v>111</v>
      </c>
      <c r="J100" s="123">
        <v>0</v>
      </c>
      <c r="K100" s="123">
        <v>60</v>
      </c>
      <c r="L100" s="117"/>
      <c r="M100" s="110" t="s">
        <v>74</v>
      </c>
      <c r="N100" s="118"/>
      <c r="O100" s="101" t="s">
        <v>33</v>
      </c>
      <c r="P100" s="87"/>
      <c r="Q100" s="105">
        <v>26</v>
      </c>
      <c r="R100" s="102" t="s">
        <v>270</v>
      </c>
      <c r="S100" s="101"/>
      <c r="T100" s="82"/>
      <c r="U100" s="82"/>
      <c r="V100" s="82"/>
      <c r="W100" s="84"/>
      <c r="X100" s="82"/>
      <c r="Y100" s="82"/>
      <c r="Z100" s="101"/>
      <c r="AA100" s="84"/>
      <c r="AB100" s="101"/>
      <c r="AE100" s="116" t="s">
        <v>177</v>
      </c>
      <c r="AF100" s="119" t="str">
        <f t="shared" ref="AF100:AF105" si="63">MID(AE100,FIND("(",AE100)+1,1)</f>
        <v>2</v>
      </c>
      <c r="AG100" s="119" t="str">
        <f t="shared" ref="AG100:AG105" si="64">MID(AE100,FIND("(",AE100)+3,1)</f>
        <v>1</v>
      </c>
      <c r="AH100" s="119">
        <f t="shared" si="40"/>
        <v>5</v>
      </c>
      <c r="AI100" s="120">
        <f t="shared" ref="AI100:AI105" si="65">FIND(")",AE100)</f>
        <v>7</v>
      </c>
      <c r="AJ100" s="120">
        <f t="shared" ref="AJ100:AJ105" si="66">FIND(",)",AE100)</f>
        <v>6</v>
      </c>
      <c r="AK100" s="119" t="str">
        <f t="shared" ref="AK100:AK105" si="67">LEFT(AE100,AJ100)</f>
        <v>3(2,1,</v>
      </c>
      <c r="AL100" s="119" t="str">
        <f t="shared" si="32"/>
        <v>3(2,1,5)</v>
      </c>
      <c r="AM100" s="116" t="s">
        <v>177</v>
      </c>
      <c r="AN100" s="119" t="str">
        <f t="shared" si="47"/>
        <v>3(2,1,5)</v>
      </c>
      <c r="AO100" s="119">
        <f t="shared" si="45"/>
        <v>1</v>
      </c>
      <c r="AP100" s="119">
        <f t="shared" si="46"/>
        <v>7</v>
      </c>
    </row>
    <row r="101" spans="1:42" s="100" customFormat="1" ht="24" x14ac:dyDescent="0.2">
      <c r="A101" s="104">
        <f>SUBTOTAL(3,B$9:$B101)</f>
        <v>92</v>
      </c>
      <c r="B101" s="101" t="s">
        <v>30</v>
      </c>
      <c r="C101" s="109" t="s">
        <v>244</v>
      </c>
      <c r="D101" s="109" t="s">
        <v>244</v>
      </c>
      <c r="E101" s="115" t="s">
        <v>261</v>
      </c>
      <c r="F101" s="121" t="s">
        <v>260</v>
      </c>
      <c r="G101" s="101"/>
      <c r="H101" s="103" t="s">
        <v>129</v>
      </c>
      <c r="I101" s="116" t="s">
        <v>113</v>
      </c>
      <c r="J101" s="123">
        <v>0</v>
      </c>
      <c r="K101" s="123">
        <v>75</v>
      </c>
      <c r="L101" s="117"/>
      <c r="M101" s="110" t="s">
        <v>74</v>
      </c>
      <c r="N101" s="118"/>
      <c r="O101" s="101" t="s">
        <v>33</v>
      </c>
      <c r="P101" s="87"/>
      <c r="Q101" s="105"/>
      <c r="R101" s="102"/>
      <c r="S101" s="101"/>
      <c r="T101" s="82"/>
      <c r="U101" s="82"/>
      <c r="V101" s="82"/>
      <c r="W101" s="84"/>
      <c r="X101" s="82"/>
      <c r="Y101" s="82"/>
      <c r="Z101" s="101"/>
      <c r="AA101" s="84"/>
      <c r="AB101" s="101"/>
      <c r="AE101" s="116" t="s">
        <v>162</v>
      </c>
      <c r="AF101" s="119" t="str">
        <f t="shared" si="63"/>
        <v>1</v>
      </c>
      <c r="AG101" s="119" t="str">
        <f t="shared" si="64"/>
        <v>2</v>
      </c>
      <c r="AH101" s="119">
        <f t="shared" si="40"/>
        <v>4</v>
      </c>
      <c r="AI101" s="120">
        <f t="shared" si="65"/>
        <v>7</v>
      </c>
      <c r="AJ101" s="120">
        <f t="shared" si="66"/>
        <v>6</v>
      </c>
      <c r="AK101" s="119" t="str">
        <f t="shared" si="67"/>
        <v>3(1,2,</v>
      </c>
      <c r="AL101" s="119" t="str">
        <f t="shared" si="32"/>
        <v>3(1,2,4)</v>
      </c>
      <c r="AM101" s="116" t="s">
        <v>162</v>
      </c>
      <c r="AN101" s="119" t="str">
        <f t="shared" si="47"/>
        <v>3(1,2,4)</v>
      </c>
      <c r="AO101" s="119">
        <f t="shared" si="45"/>
        <v>1</v>
      </c>
      <c r="AP101" s="119">
        <f t="shared" si="46"/>
        <v>7</v>
      </c>
    </row>
    <row r="102" spans="1:42" s="100" customFormat="1" ht="24" x14ac:dyDescent="0.2">
      <c r="A102" s="104">
        <f>SUBTOTAL(3,B$9:$B102)</f>
        <v>93</v>
      </c>
      <c r="B102" s="101" t="s">
        <v>30</v>
      </c>
      <c r="C102" s="109" t="s">
        <v>244</v>
      </c>
      <c r="D102" s="109" t="s">
        <v>244</v>
      </c>
      <c r="E102" s="115" t="s">
        <v>263</v>
      </c>
      <c r="F102" s="121" t="s">
        <v>262</v>
      </c>
      <c r="G102" s="101"/>
      <c r="H102" s="103" t="s">
        <v>129</v>
      </c>
      <c r="I102" s="116" t="s">
        <v>113</v>
      </c>
      <c r="J102" s="123">
        <v>0</v>
      </c>
      <c r="K102" s="123">
        <v>75</v>
      </c>
      <c r="L102" s="117"/>
      <c r="M102" s="110" t="s">
        <v>74</v>
      </c>
      <c r="N102" s="118"/>
      <c r="O102" s="101" t="s">
        <v>33</v>
      </c>
      <c r="P102" s="87"/>
      <c r="Q102" s="105"/>
      <c r="R102" s="102"/>
      <c r="S102" s="101"/>
      <c r="T102" s="82"/>
      <c r="U102" s="82"/>
      <c r="V102" s="82"/>
      <c r="W102" s="84"/>
      <c r="X102" s="82"/>
      <c r="Y102" s="82"/>
      <c r="Z102" s="101"/>
      <c r="AA102" s="84"/>
      <c r="AB102" s="101"/>
      <c r="AE102" s="116" t="s">
        <v>162</v>
      </c>
      <c r="AF102" s="119" t="str">
        <f t="shared" si="63"/>
        <v>1</v>
      </c>
      <c r="AG102" s="119" t="str">
        <f t="shared" si="64"/>
        <v>2</v>
      </c>
      <c r="AH102" s="119">
        <f t="shared" si="40"/>
        <v>4</v>
      </c>
      <c r="AI102" s="120">
        <f t="shared" si="65"/>
        <v>7</v>
      </c>
      <c r="AJ102" s="120">
        <f t="shared" si="66"/>
        <v>6</v>
      </c>
      <c r="AK102" s="119" t="str">
        <f t="shared" si="67"/>
        <v>3(1,2,</v>
      </c>
      <c r="AL102" s="119" t="str">
        <f t="shared" si="32"/>
        <v>3(1,2,4)</v>
      </c>
      <c r="AM102" s="116" t="s">
        <v>162</v>
      </c>
      <c r="AN102" s="119" t="str">
        <f t="shared" si="47"/>
        <v>3(1,2,4)</v>
      </c>
      <c r="AO102" s="119">
        <f t="shared" si="45"/>
        <v>1</v>
      </c>
      <c r="AP102" s="119">
        <f t="shared" si="46"/>
        <v>7</v>
      </c>
    </row>
    <row r="103" spans="1:42" s="100" customFormat="1" ht="12" x14ac:dyDescent="0.2">
      <c r="A103" s="104">
        <f>SUBTOTAL(3,B$9:$B103)</f>
        <v>94</v>
      </c>
      <c r="B103" s="101" t="s">
        <v>30</v>
      </c>
      <c r="C103" s="109" t="s">
        <v>244</v>
      </c>
      <c r="D103" s="109" t="s">
        <v>244</v>
      </c>
      <c r="E103" s="115" t="s">
        <v>265</v>
      </c>
      <c r="F103" s="121" t="s">
        <v>264</v>
      </c>
      <c r="G103" s="101"/>
      <c r="H103" s="103" t="s">
        <v>129</v>
      </c>
      <c r="I103" s="116" t="s">
        <v>113</v>
      </c>
      <c r="J103" s="123">
        <v>0</v>
      </c>
      <c r="K103" s="123">
        <v>75</v>
      </c>
      <c r="L103" s="117"/>
      <c r="M103" s="110" t="s">
        <v>74</v>
      </c>
      <c r="N103" s="118"/>
      <c r="O103" s="101" t="s">
        <v>33</v>
      </c>
      <c r="P103" s="87"/>
      <c r="Q103" s="105"/>
      <c r="R103" s="102"/>
      <c r="S103" s="101"/>
      <c r="T103" s="82"/>
      <c r="U103" s="82"/>
      <c r="V103" s="82"/>
      <c r="W103" s="84"/>
      <c r="X103" s="82"/>
      <c r="Y103" s="82"/>
      <c r="Z103" s="101"/>
      <c r="AA103" s="84"/>
      <c r="AB103" s="101"/>
      <c r="AE103" s="116" t="s">
        <v>162</v>
      </c>
      <c r="AF103" s="119" t="str">
        <f t="shared" si="63"/>
        <v>1</v>
      </c>
      <c r="AG103" s="119" t="str">
        <f t="shared" si="64"/>
        <v>2</v>
      </c>
      <c r="AH103" s="119">
        <f t="shared" si="40"/>
        <v>4</v>
      </c>
      <c r="AI103" s="120">
        <f t="shared" si="65"/>
        <v>7</v>
      </c>
      <c r="AJ103" s="120">
        <f t="shared" si="66"/>
        <v>6</v>
      </c>
      <c r="AK103" s="119" t="str">
        <f t="shared" si="67"/>
        <v>3(1,2,</v>
      </c>
      <c r="AL103" s="119" t="str">
        <f t="shared" si="32"/>
        <v>3(1,2,4)</v>
      </c>
      <c r="AM103" s="116" t="s">
        <v>162</v>
      </c>
      <c r="AN103" s="119" t="str">
        <f t="shared" si="47"/>
        <v>3(1,2,4)</v>
      </c>
      <c r="AO103" s="119">
        <f t="shared" si="45"/>
        <v>1</v>
      </c>
      <c r="AP103" s="119">
        <f t="shared" si="46"/>
        <v>7</v>
      </c>
    </row>
    <row r="104" spans="1:42" s="100" customFormat="1" ht="24" x14ac:dyDescent="0.2">
      <c r="A104" s="104">
        <f>SUBTOTAL(3,B$9:$B104)</f>
        <v>95</v>
      </c>
      <c r="B104" s="101" t="s">
        <v>30</v>
      </c>
      <c r="C104" s="109" t="s">
        <v>244</v>
      </c>
      <c r="D104" s="109" t="s">
        <v>244</v>
      </c>
      <c r="E104" s="115" t="s">
        <v>268</v>
      </c>
      <c r="F104" s="121" t="s">
        <v>266</v>
      </c>
      <c r="G104" s="101"/>
      <c r="H104" s="103" t="s">
        <v>129</v>
      </c>
      <c r="I104" s="116" t="s">
        <v>111</v>
      </c>
      <c r="J104" s="123">
        <v>60</v>
      </c>
      <c r="K104" s="123">
        <v>0</v>
      </c>
      <c r="L104" s="110" t="s">
        <v>74</v>
      </c>
      <c r="M104" s="117"/>
      <c r="N104" s="118"/>
      <c r="O104" s="101" t="s">
        <v>33</v>
      </c>
      <c r="P104" s="87"/>
      <c r="Q104" s="105"/>
      <c r="R104" s="102"/>
      <c r="S104" s="101"/>
      <c r="T104" s="82"/>
      <c r="U104" s="82"/>
      <c r="V104" s="82"/>
      <c r="W104" s="84"/>
      <c r="X104" s="82"/>
      <c r="Y104" s="82"/>
      <c r="Z104" s="101"/>
      <c r="AA104" s="84"/>
      <c r="AB104" s="101"/>
      <c r="AE104" s="116" t="s">
        <v>177</v>
      </c>
      <c r="AF104" s="119" t="str">
        <f t="shared" si="63"/>
        <v>2</v>
      </c>
      <c r="AG104" s="119" t="str">
        <f t="shared" si="64"/>
        <v>1</v>
      </c>
      <c r="AH104" s="119">
        <f t="shared" si="40"/>
        <v>5</v>
      </c>
      <c r="AI104" s="120">
        <f t="shared" si="65"/>
        <v>7</v>
      </c>
      <c r="AJ104" s="120">
        <f t="shared" si="66"/>
        <v>6</v>
      </c>
      <c r="AK104" s="119" t="str">
        <f t="shared" si="67"/>
        <v>3(2,1,</v>
      </c>
      <c r="AL104" s="119" t="str">
        <f t="shared" si="32"/>
        <v>3(2,1,5)</v>
      </c>
      <c r="AM104" s="116" t="s">
        <v>177</v>
      </c>
      <c r="AN104" s="119" t="str">
        <f t="shared" si="47"/>
        <v>3(2,1,5)</v>
      </c>
      <c r="AO104" s="119">
        <f t="shared" si="45"/>
        <v>1</v>
      </c>
      <c r="AP104" s="119">
        <f t="shared" si="46"/>
        <v>7</v>
      </c>
    </row>
    <row r="105" spans="1:42" s="100" customFormat="1" ht="24" x14ac:dyDescent="0.2">
      <c r="A105" s="104">
        <f>SUBTOTAL(3,B$9:$B105)</f>
        <v>96</v>
      </c>
      <c r="B105" s="101" t="s">
        <v>30</v>
      </c>
      <c r="C105" s="109" t="s">
        <v>244</v>
      </c>
      <c r="D105" s="109" t="s">
        <v>244</v>
      </c>
      <c r="E105" s="115" t="s">
        <v>269</v>
      </c>
      <c r="F105" s="121" t="s">
        <v>267</v>
      </c>
      <c r="G105" s="101"/>
      <c r="H105" s="103" t="s">
        <v>129</v>
      </c>
      <c r="I105" s="116" t="s">
        <v>113</v>
      </c>
      <c r="J105" s="123">
        <v>75</v>
      </c>
      <c r="K105" s="123">
        <v>0</v>
      </c>
      <c r="L105" s="110" t="s">
        <v>74</v>
      </c>
      <c r="M105" s="117"/>
      <c r="N105" s="118"/>
      <c r="O105" s="101" t="s">
        <v>33</v>
      </c>
      <c r="P105" s="87"/>
      <c r="Q105" s="105"/>
      <c r="R105" s="102"/>
      <c r="S105" s="101"/>
      <c r="T105" s="82"/>
      <c r="U105" s="82"/>
      <c r="V105" s="82"/>
      <c r="W105" s="84"/>
      <c r="X105" s="82"/>
      <c r="Y105" s="82"/>
      <c r="Z105" s="101"/>
      <c r="AA105" s="84"/>
      <c r="AB105" s="101"/>
      <c r="AE105" s="116" t="s">
        <v>162</v>
      </c>
      <c r="AF105" s="119" t="str">
        <f t="shared" si="63"/>
        <v>1</v>
      </c>
      <c r="AG105" s="119" t="str">
        <f t="shared" si="64"/>
        <v>2</v>
      </c>
      <c r="AH105" s="119">
        <f t="shared" si="40"/>
        <v>4</v>
      </c>
      <c r="AI105" s="120">
        <f t="shared" si="65"/>
        <v>7</v>
      </c>
      <c r="AJ105" s="120">
        <f t="shared" si="66"/>
        <v>6</v>
      </c>
      <c r="AK105" s="119" t="str">
        <f t="shared" si="67"/>
        <v>3(1,2,</v>
      </c>
      <c r="AL105" s="119" t="str">
        <f t="shared" si="32"/>
        <v>3(1,2,4)</v>
      </c>
      <c r="AM105" s="116" t="s">
        <v>162</v>
      </c>
      <c r="AN105" s="119" t="str">
        <f t="shared" si="47"/>
        <v>3(1,2,4)</v>
      </c>
      <c r="AO105" s="119">
        <f t="shared" ref="AO105:AO120" si="68">FIND(AK105,AN105,1)</f>
        <v>1</v>
      </c>
      <c r="AP105" s="119">
        <f t="shared" ref="AP105:AP120" si="69">FIND(AH105&amp;")",AN105,1)</f>
        <v>7</v>
      </c>
    </row>
    <row r="106" spans="1:42" x14ac:dyDescent="0.2">
      <c r="A106" s="104">
        <f>SUBTOTAL(3,B$9:$B106)</f>
        <v>97</v>
      </c>
      <c r="B106" s="101" t="s">
        <v>30</v>
      </c>
      <c r="C106" s="82"/>
      <c r="D106" s="84"/>
      <c r="E106" s="83"/>
      <c r="F106" s="83"/>
      <c r="G106" s="85"/>
      <c r="H106" s="84"/>
      <c r="I106" s="82"/>
      <c r="J106" s="82"/>
      <c r="K106" s="82"/>
      <c r="L106" s="82"/>
      <c r="M106" s="82"/>
      <c r="N106" s="82"/>
      <c r="O106" s="82"/>
      <c r="P106" s="87"/>
      <c r="Q106" s="87"/>
      <c r="R106" s="84"/>
      <c r="S106" s="82"/>
      <c r="T106" s="82"/>
      <c r="U106" s="82"/>
      <c r="V106" s="82"/>
      <c r="W106" s="84"/>
      <c r="X106" s="82"/>
      <c r="Y106" s="82"/>
      <c r="Z106" s="82"/>
      <c r="AA106" s="84"/>
      <c r="AB106" s="82"/>
      <c r="AE106" s="2"/>
      <c r="AF106" s="90"/>
      <c r="AG106" s="90"/>
      <c r="AH106" s="90"/>
      <c r="AI106" s="99"/>
      <c r="AJ106" s="99"/>
      <c r="AK106" s="90"/>
      <c r="AL106" s="90"/>
      <c r="AM106" s="2"/>
      <c r="AN106" s="90">
        <f t="shared" si="47"/>
        <v>0</v>
      </c>
      <c r="AO106" s="90">
        <f t="shared" si="68"/>
        <v>1</v>
      </c>
      <c r="AP106" s="90" t="e">
        <f t="shared" si="69"/>
        <v>#VALUE!</v>
      </c>
    </row>
    <row r="107" spans="1:42" s="100" customFormat="1" ht="24" x14ac:dyDescent="0.2">
      <c r="A107" s="104">
        <f>SUBTOTAL(3,B$9:$B107)</f>
        <v>98</v>
      </c>
      <c r="B107" s="109" t="s">
        <v>30</v>
      </c>
      <c r="C107" s="109" t="s">
        <v>253</v>
      </c>
      <c r="D107" s="109" t="s">
        <v>253</v>
      </c>
      <c r="E107" s="115" t="s">
        <v>192</v>
      </c>
      <c r="F107" s="121" t="s">
        <v>271</v>
      </c>
      <c r="G107" s="101"/>
      <c r="H107" s="103" t="s">
        <v>129</v>
      </c>
      <c r="I107" s="116" t="s">
        <v>120</v>
      </c>
      <c r="J107" s="123">
        <v>0</v>
      </c>
      <c r="K107" s="123">
        <v>90</v>
      </c>
      <c r="L107" s="101"/>
      <c r="M107" s="101"/>
      <c r="N107" s="101" t="s">
        <v>74</v>
      </c>
      <c r="O107" s="101" t="s">
        <v>33</v>
      </c>
      <c r="P107" s="87"/>
      <c r="Q107" s="105">
        <v>26</v>
      </c>
      <c r="R107" s="102" t="s">
        <v>279</v>
      </c>
      <c r="S107" s="101"/>
      <c r="T107" s="82"/>
      <c r="U107" s="82"/>
      <c r="V107" s="82"/>
      <c r="W107" s="84"/>
      <c r="X107" s="82"/>
      <c r="Y107" s="82"/>
      <c r="Z107" s="101"/>
      <c r="AA107" s="84"/>
      <c r="AB107" s="101"/>
      <c r="AE107" s="116" t="s">
        <v>163</v>
      </c>
      <c r="AF107" s="119" t="str">
        <f t="shared" ref="AF107:AF113" si="70">MID(AE107,FIND("(",AE107)+1,1)</f>
        <v>0</v>
      </c>
      <c r="AG107" s="119" t="str">
        <f t="shared" ref="AG107:AG113" si="71">MID(AE107,FIND("(",AE107)+3,1)</f>
        <v>2</v>
      </c>
      <c r="AH107" s="119">
        <f t="shared" si="40"/>
        <v>2</v>
      </c>
      <c r="AI107" s="120">
        <f t="shared" ref="AI107:AI113" si="72">FIND(")",AE107)</f>
        <v>7</v>
      </c>
      <c r="AJ107" s="120">
        <f t="shared" ref="AJ107:AJ113" si="73">FIND(",)",AE107)</f>
        <v>6</v>
      </c>
      <c r="AK107" s="119" t="str">
        <f t="shared" ref="AK107:AK113" si="74">LEFT(AE107,AJ107)</f>
        <v>2(0,2,</v>
      </c>
      <c r="AL107" s="119" t="str">
        <f t="shared" si="32"/>
        <v>2(0,2,2)</v>
      </c>
      <c r="AM107" s="116" t="s">
        <v>163</v>
      </c>
      <c r="AN107" s="119" t="str">
        <f t="shared" si="47"/>
        <v>2(0,2,2)</v>
      </c>
      <c r="AO107" s="119">
        <f t="shared" si="68"/>
        <v>1</v>
      </c>
      <c r="AP107" s="119">
        <f t="shared" si="69"/>
        <v>7</v>
      </c>
    </row>
    <row r="108" spans="1:42" s="100" customFormat="1" ht="24" x14ac:dyDescent="0.2">
      <c r="A108" s="104">
        <f>SUBTOTAL(3,B$9:$B108)</f>
        <v>99</v>
      </c>
      <c r="B108" s="101" t="s">
        <v>30</v>
      </c>
      <c r="C108" s="109" t="s">
        <v>253</v>
      </c>
      <c r="D108" s="109" t="s">
        <v>253</v>
      </c>
      <c r="E108" s="115" t="s">
        <v>268</v>
      </c>
      <c r="F108" s="121" t="s">
        <v>266</v>
      </c>
      <c r="G108" s="101"/>
      <c r="H108" s="103" t="s">
        <v>129</v>
      </c>
      <c r="I108" s="116" t="s">
        <v>111</v>
      </c>
      <c r="J108" s="123">
        <v>60</v>
      </c>
      <c r="K108" s="123">
        <v>0</v>
      </c>
      <c r="L108" s="108" t="s">
        <v>74</v>
      </c>
      <c r="M108" s="101"/>
      <c r="N108" s="101"/>
      <c r="O108" s="101" t="s">
        <v>33</v>
      </c>
      <c r="P108" s="87"/>
      <c r="Q108" s="105"/>
      <c r="R108" s="102"/>
      <c r="S108" s="101"/>
      <c r="T108" s="82"/>
      <c r="U108" s="82"/>
      <c r="V108" s="82"/>
      <c r="W108" s="84"/>
      <c r="X108" s="82"/>
      <c r="Y108" s="82"/>
      <c r="Z108" s="101"/>
      <c r="AA108" s="84"/>
      <c r="AB108" s="101"/>
      <c r="AE108" s="116" t="s">
        <v>177</v>
      </c>
      <c r="AF108" s="119" t="str">
        <f t="shared" si="70"/>
        <v>2</v>
      </c>
      <c r="AG108" s="119" t="str">
        <f t="shared" si="71"/>
        <v>1</v>
      </c>
      <c r="AH108" s="119">
        <f t="shared" si="40"/>
        <v>5</v>
      </c>
      <c r="AI108" s="120">
        <f t="shared" si="72"/>
        <v>7</v>
      </c>
      <c r="AJ108" s="120">
        <f t="shared" si="73"/>
        <v>6</v>
      </c>
      <c r="AK108" s="119" t="str">
        <f t="shared" si="74"/>
        <v>3(2,1,</v>
      </c>
      <c r="AL108" s="119" t="str">
        <f t="shared" si="32"/>
        <v>3(2,1,5)</v>
      </c>
      <c r="AM108" s="116" t="s">
        <v>177</v>
      </c>
      <c r="AN108" s="119" t="str">
        <f t="shared" si="47"/>
        <v>3(2,1,5)</v>
      </c>
      <c r="AO108" s="119">
        <f t="shared" si="68"/>
        <v>1</v>
      </c>
      <c r="AP108" s="119">
        <f t="shared" si="69"/>
        <v>7</v>
      </c>
    </row>
    <row r="109" spans="1:42" s="100" customFormat="1" ht="12" x14ac:dyDescent="0.2">
      <c r="A109" s="104">
        <f>SUBTOTAL(3,B$9:$B109)</f>
        <v>100</v>
      </c>
      <c r="B109" s="101" t="s">
        <v>30</v>
      </c>
      <c r="C109" s="109" t="s">
        <v>253</v>
      </c>
      <c r="D109" s="109" t="s">
        <v>253</v>
      </c>
      <c r="E109" s="115" t="s">
        <v>202</v>
      </c>
      <c r="F109" s="121" t="s">
        <v>272</v>
      </c>
      <c r="G109" s="101"/>
      <c r="H109" s="103" t="s">
        <v>129</v>
      </c>
      <c r="I109" s="116" t="s">
        <v>110</v>
      </c>
      <c r="J109" s="123">
        <v>45</v>
      </c>
      <c r="K109" s="123">
        <v>0</v>
      </c>
      <c r="L109" s="108" t="s">
        <v>74</v>
      </c>
      <c r="M109" s="101"/>
      <c r="N109" s="101"/>
      <c r="O109" s="101" t="s">
        <v>33</v>
      </c>
      <c r="P109" s="87"/>
      <c r="Q109" s="105"/>
      <c r="R109" s="102"/>
      <c r="S109" s="101"/>
      <c r="T109" s="82"/>
      <c r="U109" s="82"/>
      <c r="V109" s="82"/>
      <c r="W109" s="84"/>
      <c r="X109" s="82"/>
      <c r="Y109" s="82"/>
      <c r="Z109" s="101"/>
      <c r="AA109" s="84"/>
      <c r="AB109" s="101"/>
      <c r="AE109" s="116" t="s">
        <v>195</v>
      </c>
      <c r="AF109" s="119" t="str">
        <f t="shared" si="70"/>
        <v>1</v>
      </c>
      <c r="AG109" s="119" t="str">
        <f t="shared" si="71"/>
        <v>1</v>
      </c>
      <c r="AH109" s="119">
        <f t="shared" si="40"/>
        <v>3</v>
      </c>
      <c r="AI109" s="120">
        <f t="shared" si="72"/>
        <v>7</v>
      </c>
      <c r="AJ109" s="120">
        <f t="shared" si="73"/>
        <v>6</v>
      </c>
      <c r="AK109" s="119" t="str">
        <f t="shared" si="74"/>
        <v>2(1,1,</v>
      </c>
      <c r="AL109" s="119" t="str">
        <f t="shared" si="32"/>
        <v>2(1,1,3)</v>
      </c>
      <c r="AM109" s="116" t="s">
        <v>195</v>
      </c>
      <c r="AN109" s="119" t="str">
        <f t="shared" si="47"/>
        <v>2(1,1,3)</v>
      </c>
      <c r="AO109" s="119">
        <f t="shared" si="68"/>
        <v>1</v>
      </c>
      <c r="AP109" s="119">
        <f t="shared" si="69"/>
        <v>7</v>
      </c>
    </row>
    <row r="110" spans="1:42" s="100" customFormat="1" ht="12" x14ac:dyDescent="0.2">
      <c r="A110" s="104">
        <f>SUBTOTAL(3,B$9:$B110)</f>
        <v>101</v>
      </c>
      <c r="B110" s="101" t="s">
        <v>30</v>
      </c>
      <c r="C110" s="109" t="s">
        <v>253</v>
      </c>
      <c r="D110" s="109" t="s">
        <v>253</v>
      </c>
      <c r="E110" s="115" t="s">
        <v>145</v>
      </c>
      <c r="F110" s="121" t="s">
        <v>273</v>
      </c>
      <c r="G110" s="101"/>
      <c r="H110" s="103" t="s">
        <v>129</v>
      </c>
      <c r="I110" s="116" t="s">
        <v>113</v>
      </c>
      <c r="J110" s="123">
        <v>75</v>
      </c>
      <c r="K110" s="123">
        <v>0</v>
      </c>
      <c r="L110" s="108" t="s">
        <v>74</v>
      </c>
      <c r="M110" s="101"/>
      <c r="N110" s="101"/>
      <c r="O110" s="101" t="s">
        <v>33</v>
      </c>
      <c r="P110" s="87"/>
      <c r="Q110" s="105"/>
      <c r="R110" s="102"/>
      <c r="S110" s="101"/>
      <c r="T110" s="82"/>
      <c r="U110" s="82"/>
      <c r="V110" s="82"/>
      <c r="W110" s="84"/>
      <c r="X110" s="82"/>
      <c r="Y110" s="82"/>
      <c r="Z110" s="101"/>
      <c r="AA110" s="84"/>
      <c r="AB110" s="101"/>
      <c r="AE110" s="116" t="s">
        <v>162</v>
      </c>
      <c r="AF110" s="119" t="str">
        <f t="shared" si="70"/>
        <v>1</v>
      </c>
      <c r="AG110" s="119" t="str">
        <f t="shared" si="71"/>
        <v>2</v>
      </c>
      <c r="AH110" s="119">
        <f t="shared" si="40"/>
        <v>4</v>
      </c>
      <c r="AI110" s="120">
        <f t="shared" si="72"/>
        <v>7</v>
      </c>
      <c r="AJ110" s="120">
        <f t="shared" si="73"/>
        <v>6</v>
      </c>
      <c r="AK110" s="119" t="str">
        <f t="shared" si="74"/>
        <v>3(1,2,</v>
      </c>
      <c r="AL110" s="119" t="str">
        <f t="shared" ref="AL110:AL120" si="75">AK110&amp;AH110&amp;")"</f>
        <v>3(1,2,4)</v>
      </c>
      <c r="AM110" s="116" t="s">
        <v>162</v>
      </c>
      <c r="AN110" s="119" t="str">
        <f t="shared" si="47"/>
        <v>3(1,2,4)</v>
      </c>
      <c r="AO110" s="119">
        <f t="shared" si="68"/>
        <v>1</v>
      </c>
      <c r="AP110" s="119">
        <f t="shared" si="69"/>
        <v>7</v>
      </c>
    </row>
    <row r="111" spans="1:42" s="100" customFormat="1" ht="12" x14ac:dyDescent="0.2">
      <c r="A111" s="104">
        <f>SUBTOTAL(3,B$9:$B111)</f>
        <v>102</v>
      </c>
      <c r="B111" s="101" t="s">
        <v>30</v>
      </c>
      <c r="C111" s="109" t="s">
        <v>253</v>
      </c>
      <c r="D111" s="109" t="s">
        <v>253</v>
      </c>
      <c r="E111" s="115" t="s">
        <v>280</v>
      </c>
      <c r="F111" s="121" t="s">
        <v>274</v>
      </c>
      <c r="G111" s="101"/>
      <c r="H111" s="103" t="s">
        <v>129</v>
      </c>
      <c r="I111" s="116" t="s">
        <v>118</v>
      </c>
      <c r="J111" s="123">
        <v>90</v>
      </c>
      <c r="K111" s="123">
        <v>0</v>
      </c>
      <c r="L111" s="108" t="s">
        <v>74</v>
      </c>
      <c r="M111" s="101"/>
      <c r="N111" s="101"/>
      <c r="O111" s="101" t="s">
        <v>33</v>
      </c>
      <c r="P111" s="87"/>
      <c r="Q111" s="105"/>
      <c r="R111" s="102"/>
      <c r="S111" s="101"/>
      <c r="T111" s="82"/>
      <c r="U111" s="82"/>
      <c r="V111" s="82"/>
      <c r="W111" s="84"/>
      <c r="X111" s="82"/>
      <c r="Y111" s="82"/>
      <c r="Z111" s="101"/>
      <c r="AA111" s="84"/>
      <c r="AB111" s="101"/>
      <c r="AE111" s="116" t="s">
        <v>185</v>
      </c>
      <c r="AF111" s="119" t="str">
        <f t="shared" si="70"/>
        <v>2</v>
      </c>
      <c r="AG111" s="119" t="str">
        <f t="shared" si="71"/>
        <v>2</v>
      </c>
      <c r="AH111" s="119">
        <f t="shared" si="40"/>
        <v>6</v>
      </c>
      <c r="AI111" s="120">
        <f t="shared" si="72"/>
        <v>7</v>
      </c>
      <c r="AJ111" s="120">
        <f t="shared" si="73"/>
        <v>6</v>
      </c>
      <c r="AK111" s="119" t="str">
        <f t="shared" si="74"/>
        <v>4(2,2,</v>
      </c>
      <c r="AL111" s="119" t="str">
        <f t="shared" si="75"/>
        <v>4(2,2,6)</v>
      </c>
      <c r="AM111" s="116" t="s">
        <v>185</v>
      </c>
      <c r="AN111" s="119" t="str">
        <f t="shared" si="47"/>
        <v>4(2,2,6)</v>
      </c>
      <c r="AO111" s="119">
        <f t="shared" si="68"/>
        <v>1</v>
      </c>
      <c r="AP111" s="119">
        <f t="shared" si="69"/>
        <v>7</v>
      </c>
    </row>
    <row r="112" spans="1:42" s="100" customFormat="1" ht="12" x14ac:dyDescent="0.2">
      <c r="A112" s="104">
        <f>SUBTOTAL(3,B$9:$B112)</f>
        <v>103</v>
      </c>
      <c r="B112" s="101" t="s">
        <v>30</v>
      </c>
      <c r="C112" s="109" t="s">
        <v>253</v>
      </c>
      <c r="D112" s="109" t="s">
        <v>253</v>
      </c>
      <c r="E112" s="115" t="s">
        <v>276</v>
      </c>
      <c r="F112" s="121" t="s">
        <v>275</v>
      </c>
      <c r="G112" s="101"/>
      <c r="H112" s="103" t="s">
        <v>129</v>
      </c>
      <c r="I112" s="116" t="s">
        <v>113</v>
      </c>
      <c r="J112" s="123">
        <v>0</v>
      </c>
      <c r="K112" s="123">
        <v>75</v>
      </c>
      <c r="L112" s="101"/>
      <c r="M112" s="108" t="s">
        <v>74</v>
      </c>
      <c r="N112" s="101"/>
      <c r="O112" s="114" t="s">
        <v>30</v>
      </c>
      <c r="P112" s="87"/>
      <c r="Q112" s="105"/>
      <c r="R112" s="102"/>
      <c r="S112" s="101"/>
      <c r="T112" s="82"/>
      <c r="U112" s="82"/>
      <c r="V112" s="82"/>
      <c r="W112" s="84"/>
      <c r="X112" s="82"/>
      <c r="Y112" s="82"/>
      <c r="Z112" s="101"/>
      <c r="AA112" s="84"/>
      <c r="AB112" s="101"/>
      <c r="AE112" s="116" t="s">
        <v>162</v>
      </c>
      <c r="AF112" s="119" t="str">
        <f t="shared" si="70"/>
        <v>1</v>
      </c>
      <c r="AG112" s="119" t="str">
        <f t="shared" si="71"/>
        <v>2</v>
      </c>
      <c r="AH112" s="119">
        <f t="shared" si="40"/>
        <v>4</v>
      </c>
      <c r="AI112" s="120">
        <f t="shared" si="72"/>
        <v>7</v>
      </c>
      <c r="AJ112" s="120">
        <f t="shared" si="73"/>
        <v>6</v>
      </c>
      <c r="AK112" s="119" t="str">
        <f t="shared" si="74"/>
        <v>3(1,2,</v>
      </c>
      <c r="AL112" s="119" t="str">
        <f t="shared" si="75"/>
        <v>3(1,2,4)</v>
      </c>
      <c r="AM112" s="116" t="s">
        <v>162</v>
      </c>
      <c r="AN112" s="119" t="str">
        <f t="shared" si="47"/>
        <v>3(1,2,4)</v>
      </c>
      <c r="AO112" s="119">
        <f t="shared" si="68"/>
        <v>1</v>
      </c>
      <c r="AP112" s="119">
        <f t="shared" si="69"/>
        <v>7</v>
      </c>
    </row>
    <row r="113" spans="1:42" s="100" customFormat="1" ht="12" x14ac:dyDescent="0.2">
      <c r="A113" s="104">
        <f>SUBTOTAL(3,B$9:$B113)</f>
        <v>104</v>
      </c>
      <c r="B113" s="101" t="s">
        <v>30</v>
      </c>
      <c r="C113" s="109" t="s">
        <v>253</v>
      </c>
      <c r="D113" s="109" t="s">
        <v>253</v>
      </c>
      <c r="E113" s="115" t="s">
        <v>278</v>
      </c>
      <c r="F113" s="121" t="s">
        <v>277</v>
      </c>
      <c r="G113" s="101"/>
      <c r="H113" s="103" t="s">
        <v>129</v>
      </c>
      <c r="I113" s="116" t="s">
        <v>113</v>
      </c>
      <c r="J113" s="123">
        <v>0</v>
      </c>
      <c r="K113" s="123">
        <v>75</v>
      </c>
      <c r="L113" s="101"/>
      <c r="M113" s="108" t="s">
        <v>74</v>
      </c>
      <c r="N113" s="101"/>
      <c r="O113" s="114" t="s">
        <v>30</v>
      </c>
      <c r="P113" s="87"/>
      <c r="Q113" s="105"/>
      <c r="R113" s="102"/>
      <c r="S113" s="101"/>
      <c r="T113" s="82"/>
      <c r="U113" s="82"/>
      <c r="V113" s="82"/>
      <c r="W113" s="84"/>
      <c r="X113" s="82"/>
      <c r="Y113" s="82"/>
      <c r="Z113" s="101"/>
      <c r="AA113" s="84"/>
      <c r="AB113" s="101"/>
      <c r="AE113" s="116" t="s">
        <v>162</v>
      </c>
      <c r="AF113" s="119" t="str">
        <f t="shared" si="70"/>
        <v>1</v>
      </c>
      <c r="AG113" s="119" t="str">
        <f t="shared" si="71"/>
        <v>2</v>
      </c>
      <c r="AH113" s="119">
        <f t="shared" si="40"/>
        <v>4</v>
      </c>
      <c r="AI113" s="120">
        <f t="shared" si="72"/>
        <v>7</v>
      </c>
      <c r="AJ113" s="120">
        <f t="shared" si="73"/>
        <v>6</v>
      </c>
      <c r="AK113" s="119" t="str">
        <f t="shared" si="74"/>
        <v>3(1,2,</v>
      </c>
      <c r="AL113" s="119" t="str">
        <f t="shared" si="75"/>
        <v>3(1,2,4)</v>
      </c>
      <c r="AM113" s="116" t="s">
        <v>162</v>
      </c>
      <c r="AN113" s="119" t="str">
        <f t="shared" si="47"/>
        <v>3(1,2,4)</v>
      </c>
      <c r="AO113" s="119">
        <f t="shared" si="68"/>
        <v>1</v>
      </c>
      <c r="AP113" s="119">
        <f t="shared" si="69"/>
        <v>7</v>
      </c>
    </row>
    <row r="114" spans="1:42" x14ac:dyDescent="0.2">
      <c r="A114" s="104">
        <f>SUBTOTAL(3,B$9:$B114)</f>
        <v>105</v>
      </c>
      <c r="B114" s="101" t="s">
        <v>30</v>
      </c>
      <c r="C114" s="82"/>
      <c r="D114" s="84"/>
      <c r="E114" s="83"/>
      <c r="F114" s="83"/>
      <c r="G114" s="85"/>
      <c r="H114" s="84"/>
      <c r="I114" s="82"/>
      <c r="J114" s="82"/>
      <c r="K114" s="82"/>
      <c r="L114" s="82"/>
      <c r="M114" s="82"/>
      <c r="N114" s="82"/>
      <c r="O114" s="82"/>
      <c r="P114" s="87"/>
      <c r="Q114" s="87"/>
      <c r="R114" s="84"/>
      <c r="S114" s="82"/>
      <c r="T114" s="82"/>
      <c r="U114" s="82"/>
      <c r="V114" s="82"/>
      <c r="W114" s="84"/>
      <c r="X114" s="82"/>
      <c r="Y114" s="82"/>
      <c r="Z114" s="82"/>
      <c r="AA114" s="84"/>
      <c r="AB114" s="82"/>
      <c r="AE114" s="2"/>
      <c r="AF114" s="90"/>
      <c r="AG114" s="90"/>
      <c r="AH114" s="90"/>
      <c r="AI114" s="99"/>
      <c r="AJ114" s="99"/>
      <c r="AK114" s="90"/>
      <c r="AL114" s="90"/>
      <c r="AM114" s="2"/>
      <c r="AN114" s="90">
        <f t="shared" si="47"/>
        <v>0</v>
      </c>
      <c r="AO114" s="90">
        <f t="shared" si="68"/>
        <v>1</v>
      </c>
      <c r="AP114" s="90" t="e">
        <f t="shared" si="69"/>
        <v>#VALUE!</v>
      </c>
    </row>
    <row r="115" spans="1:42" s="100" customFormat="1" ht="24" x14ac:dyDescent="0.2">
      <c r="A115" s="104">
        <f>SUBTOTAL(3,B$9:$B115)</f>
        <v>106</v>
      </c>
      <c r="B115" s="109" t="s">
        <v>30</v>
      </c>
      <c r="C115" s="109" t="s">
        <v>258</v>
      </c>
      <c r="D115" s="109" t="s">
        <v>258</v>
      </c>
      <c r="E115" s="115" t="s">
        <v>268</v>
      </c>
      <c r="F115" s="121" t="s">
        <v>266</v>
      </c>
      <c r="G115" s="101"/>
      <c r="H115" s="103" t="s">
        <v>129</v>
      </c>
      <c r="I115" s="116" t="s">
        <v>111</v>
      </c>
      <c r="J115" s="123">
        <v>60</v>
      </c>
      <c r="K115" s="123">
        <v>0</v>
      </c>
      <c r="L115" s="108" t="s">
        <v>74</v>
      </c>
      <c r="M115" s="101"/>
      <c r="N115" s="101"/>
      <c r="O115" s="101" t="s">
        <v>33</v>
      </c>
      <c r="P115" s="87"/>
      <c r="Q115" s="105">
        <v>26</v>
      </c>
      <c r="R115" s="102" t="s">
        <v>286</v>
      </c>
      <c r="S115" s="101"/>
      <c r="T115" s="82"/>
      <c r="U115" s="82"/>
      <c r="V115" s="82"/>
      <c r="W115" s="84"/>
      <c r="X115" s="82"/>
      <c r="Y115" s="82"/>
      <c r="Z115" s="101"/>
      <c r="AA115" s="84"/>
      <c r="AB115" s="101"/>
      <c r="AE115" s="116" t="s">
        <v>177</v>
      </c>
      <c r="AF115" s="119" t="str">
        <f t="shared" ref="AF115:AF120" si="76">MID(AE115,FIND("(",AE115)+1,1)</f>
        <v>2</v>
      </c>
      <c r="AG115" s="119" t="str">
        <f t="shared" ref="AG115:AG120" si="77">MID(AE115,FIND("(",AE115)+3,1)</f>
        <v>1</v>
      </c>
      <c r="AH115" s="119">
        <f t="shared" si="40"/>
        <v>5</v>
      </c>
      <c r="AI115" s="120">
        <f t="shared" ref="AI115:AI120" si="78">FIND(")",AE115)</f>
        <v>7</v>
      </c>
      <c r="AJ115" s="120">
        <f t="shared" ref="AJ115:AJ120" si="79">FIND(",)",AE115)</f>
        <v>6</v>
      </c>
      <c r="AK115" s="119" t="str">
        <f t="shared" ref="AK115:AK120" si="80">LEFT(AE115,AJ115)</f>
        <v>3(2,1,</v>
      </c>
      <c r="AL115" s="119" t="str">
        <f t="shared" si="75"/>
        <v>3(2,1,5)</v>
      </c>
      <c r="AM115" s="116" t="s">
        <v>177</v>
      </c>
      <c r="AN115" s="119" t="str">
        <f t="shared" si="47"/>
        <v>3(2,1,5)</v>
      </c>
      <c r="AO115" s="119">
        <f t="shared" si="68"/>
        <v>1</v>
      </c>
      <c r="AP115" s="119">
        <f t="shared" si="69"/>
        <v>7</v>
      </c>
    </row>
    <row r="116" spans="1:42" s="100" customFormat="1" ht="12" x14ac:dyDescent="0.2">
      <c r="A116" s="104">
        <f>SUBTOTAL(3,B$9:$B116)</f>
        <v>107</v>
      </c>
      <c r="B116" s="101" t="s">
        <v>30</v>
      </c>
      <c r="C116" s="109" t="s">
        <v>258</v>
      </c>
      <c r="D116" s="109" t="s">
        <v>258</v>
      </c>
      <c r="E116" s="115" t="s">
        <v>140</v>
      </c>
      <c r="F116" s="121" t="s">
        <v>281</v>
      </c>
      <c r="G116" s="101"/>
      <c r="H116" s="103" t="s">
        <v>129</v>
      </c>
      <c r="I116" s="116" t="s">
        <v>113</v>
      </c>
      <c r="J116" s="123">
        <v>0</v>
      </c>
      <c r="K116" s="123">
        <v>0</v>
      </c>
      <c r="L116" s="108" t="s">
        <v>74</v>
      </c>
      <c r="M116" s="101"/>
      <c r="N116" s="101"/>
      <c r="O116" s="101" t="s">
        <v>33</v>
      </c>
      <c r="P116" s="87"/>
      <c r="Q116" s="105"/>
      <c r="R116" s="102"/>
      <c r="S116" s="101"/>
      <c r="T116" s="82"/>
      <c r="U116" s="82"/>
      <c r="V116" s="82"/>
      <c r="W116" s="84"/>
      <c r="X116" s="82"/>
      <c r="Y116" s="82"/>
      <c r="Z116" s="101"/>
      <c r="AA116" s="84"/>
      <c r="AB116" s="101"/>
      <c r="AE116" s="116" t="s">
        <v>162</v>
      </c>
      <c r="AF116" s="119" t="str">
        <f t="shared" si="76"/>
        <v>1</v>
      </c>
      <c r="AG116" s="119" t="str">
        <f t="shared" si="77"/>
        <v>2</v>
      </c>
      <c r="AH116" s="119">
        <f t="shared" si="40"/>
        <v>4</v>
      </c>
      <c r="AI116" s="120">
        <f t="shared" si="78"/>
        <v>7</v>
      </c>
      <c r="AJ116" s="120">
        <f t="shared" si="79"/>
        <v>6</v>
      </c>
      <c r="AK116" s="119" t="str">
        <f t="shared" si="80"/>
        <v>3(1,2,</v>
      </c>
      <c r="AL116" s="119" t="str">
        <f t="shared" si="75"/>
        <v>3(1,2,4)</v>
      </c>
      <c r="AM116" s="116" t="s">
        <v>162</v>
      </c>
      <c r="AN116" s="119" t="str">
        <f t="shared" si="47"/>
        <v>3(1,2,4)</v>
      </c>
      <c r="AO116" s="119">
        <f t="shared" si="68"/>
        <v>1</v>
      </c>
      <c r="AP116" s="119">
        <f t="shared" si="69"/>
        <v>7</v>
      </c>
    </row>
    <row r="117" spans="1:42" s="100" customFormat="1" ht="24" x14ac:dyDescent="0.2">
      <c r="A117" s="104">
        <f>SUBTOTAL(3,B$9:$B117)</f>
        <v>108</v>
      </c>
      <c r="B117" s="101" t="s">
        <v>30</v>
      </c>
      <c r="C117" s="109" t="s">
        <v>258</v>
      </c>
      <c r="D117" s="109" t="s">
        <v>258</v>
      </c>
      <c r="E117" s="115" t="s">
        <v>142</v>
      </c>
      <c r="F117" s="121" t="s">
        <v>282</v>
      </c>
      <c r="G117" s="101"/>
      <c r="H117" s="103" t="s">
        <v>129</v>
      </c>
      <c r="I117" s="116" t="s">
        <v>113</v>
      </c>
      <c r="J117" s="123">
        <v>0</v>
      </c>
      <c r="K117" s="123">
        <v>0</v>
      </c>
      <c r="L117" s="108" t="s">
        <v>74</v>
      </c>
      <c r="M117" s="101"/>
      <c r="N117" s="101"/>
      <c r="O117" s="101" t="s">
        <v>33</v>
      </c>
      <c r="P117" s="87"/>
      <c r="Q117" s="105"/>
      <c r="R117" s="102"/>
      <c r="S117" s="101"/>
      <c r="T117" s="82"/>
      <c r="U117" s="82"/>
      <c r="V117" s="82"/>
      <c r="W117" s="84"/>
      <c r="X117" s="82"/>
      <c r="Y117" s="82"/>
      <c r="Z117" s="101"/>
      <c r="AA117" s="84"/>
      <c r="AB117" s="101"/>
      <c r="AE117" s="116" t="s">
        <v>162</v>
      </c>
      <c r="AF117" s="119" t="str">
        <f t="shared" si="76"/>
        <v>1</v>
      </c>
      <c r="AG117" s="119" t="str">
        <f t="shared" si="77"/>
        <v>2</v>
      </c>
      <c r="AH117" s="119">
        <f t="shared" si="40"/>
        <v>4</v>
      </c>
      <c r="AI117" s="120">
        <f t="shared" si="78"/>
        <v>7</v>
      </c>
      <c r="AJ117" s="120">
        <f t="shared" si="79"/>
        <v>6</v>
      </c>
      <c r="AK117" s="119" t="str">
        <f t="shared" si="80"/>
        <v>3(1,2,</v>
      </c>
      <c r="AL117" s="119" t="str">
        <f t="shared" si="75"/>
        <v>3(1,2,4)</v>
      </c>
      <c r="AM117" s="116" t="s">
        <v>162</v>
      </c>
      <c r="AN117" s="119" t="str">
        <f t="shared" si="47"/>
        <v>3(1,2,4)</v>
      </c>
      <c r="AO117" s="119">
        <f t="shared" si="68"/>
        <v>1</v>
      </c>
      <c r="AP117" s="119">
        <f t="shared" si="69"/>
        <v>7</v>
      </c>
    </row>
    <row r="118" spans="1:42" s="100" customFormat="1" ht="12" x14ac:dyDescent="0.2">
      <c r="A118" s="104">
        <f>SUBTOTAL(3,B$9:$B118)</f>
        <v>109</v>
      </c>
      <c r="B118" s="101" t="s">
        <v>30</v>
      </c>
      <c r="C118" s="109" t="s">
        <v>258</v>
      </c>
      <c r="D118" s="109" t="s">
        <v>258</v>
      </c>
      <c r="E118" s="115" t="s">
        <v>143</v>
      </c>
      <c r="F118" s="121" t="s">
        <v>283</v>
      </c>
      <c r="G118" s="101"/>
      <c r="H118" s="103" t="s">
        <v>129</v>
      </c>
      <c r="I118" s="116" t="s">
        <v>113</v>
      </c>
      <c r="J118" s="123">
        <v>0</v>
      </c>
      <c r="K118" s="123">
        <v>0</v>
      </c>
      <c r="L118" s="108" t="s">
        <v>74</v>
      </c>
      <c r="M118" s="101"/>
      <c r="N118" s="101"/>
      <c r="O118" s="101" t="s">
        <v>33</v>
      </c>
      <c r="P118" s="87"/>
      <c r="Q118" s="105"/>
      <c r="R118" s="102"/>
      <c r="S118" s="101"/>
      <c r="T118" s="82"/>
      <c r="U118" s="82"/>
      <c r="V118" s="82"/>
      <c r="W118" s="84"/>
      <c r="X118" s="82"/>
      <c r="Y118" s="82"/>
      <c r="Z118" s="101"/>
      <c r="AA118" s="84"/>
      <c r="AB118" s="101"/>
      <c r="AE118" s="116" t="s">
        <v>162</v>
      </c>
      <c r="AF118" s="119" t="str">
        <f t="shared" si="76"/>
        <v>1</v>
      </c>
      <c r="AG118" s="119" t="str">
        <f t="shared" si="77"/>
        <v>2</v>
      </c>
      <c r="AH118" s="119">
        <f t="shared" si="40"/>
        <v>4</v>
      </c>
      <c r="AI118" s="120">
        <f t="shared" si="78"/>
        <v>7</v>
      </c>
      <c r="AJ118" s="120">
        <f t="shared" si="79"/>
        <v>6</v>
      </c>
      <c r="AK118" s="119" t="str">
        <f t="shared" si="80"/>
        <v>3(1,2,</v>
      </c>
      <c r="AL118" s="119" t="str">
        <f t="shared" si="75"/>
        <v>3(1,2,4)</v>
      </c>
      <c r="AM118" s="116" t="s">
        <v>162</v>
      </c>
      <c r="AN118" s="119" t="str">
        <f t="shared" si="47"/>
        <v>3(1,2,4)</v>
      </c>
      <c r="AO118" s="119">
        <f t="shared" si="68"/>
        <v>1</v>
      </c>
      <c r="AP118" s="119">
        <f t="shared" si="69"/>
        <v>7</v>
      </c>
    </row>
    <row r="119" spans="1:42" s="100" customFormat="1" ht="24" x14ac:dyDescent="0.2">
      <c r="A119" s="104">
        <f>SUBTOTAL(3,B$9:$B119)</f>
        <v>110</v>
      </c>
      <c r="B119" s="101" t="s">
        <v>30</v>
      </c>
      <c r="C119" s="109" t="s">
        <v>258</v>
      </c>
      <c r="D119" s="109" t="s">
        <v>258</v>
      </c>
      <c r="E119" s="115" t="s">
        <v>292</v>
      </c>
      <c r="F119" s="121" t="s">
        <v>284</v>
      </c>
      <c r="G119" s="101"/>
      <c r="H119" s="103" t="s">
        <v>129</v>
      </c>
      <c r="I119" s="116" t="s">
        <v>113</v>
      </c>
      <c r="J119" s="123">
        <v>0</v>
      </c>
      <c r="K119" s="123">
        <v>0</v>
      </c>
      <c r="L119" s="110" t="s">
        <v>74</v>
      </c>
      <c r="M119" s="117"/>
      <c r="N119" s="118"/>
      <c r="O119" s="114" t="s">
        <v>30</v>
      </c>
      <c r="P119" s="87"/>
      <c r="Q119" s="105"/>
      <c r="R119" s="102"/>
      <c r="S119" s="101"/>
      <c r="T119" s="82"/>
      <c r="U119" s="82"/>
      <c r="V119" s="82"/>
      <c r="W119" s="84"/>
      <c r="X119" s="82"/>
      <c r="Y119" s="82"/>
      <c r="Z119" s="101"/>
      <c r="AA119" s="84"/>
      <c r="AB119" s="101"/>
      <c r="AE119" s="116" t="s">
        <v>162</v>
      </c>
      <c r="AF119" s="119" t="str">
        <f t="shared" si="76"/>
        <v>1</v>
      </c>
      <c r="AG119" s="119" t="str">
        <f t="shared" si="77"/>
        <v>2</v>
      </c>
      <c r="AH119" s="119">
        <f t="shared" si="40"/>
        <v>4</v>
      </c>
      <c r="AI119" s="120">
        <f t="shared" si="78"/>
        <v>7</v>
      </c>
      <c r="AJ119" s="120">
        <f t="shared" si="79"/>
        <v>6</v>
      </c>
      <c r="AK119" s="119" t="str">
        <f t="shared" si="80"/>
        <v>3(1,2,</v>
      </c>
      <c r="AL119" s="119" t="str">
        <f t="shared" si="75"/>
        <v>3(1,2,4)</v>
      </c>
      <c r="AM119" s="116" t="s">
        <v>162</v>
      </c>
      <c r="AN119" s="119" t="str">
        <f t="shared" si="47"/>
        <v>3(1,2,4)</v>
      </c>
      <c r="AO119" s="119">
        <f t="shared" si="68"/>
        <v>1</v>
      </c>
      <c r="AP119" s="119">
        <f t="shared" si="69"/>
        <v>7</v>
      </c>
    </row>
    <row r="120" spans="1:42" s="100" customFormat="1" ht="12" x14ac:dyDescent="0.2">
      <c r="A120" s="104">
        <f>SUBTOTAL(3,B$9:$B120)</f>
        <v>111</v>
      </c>
      <c r="B120" s="101" t="s">
        <v>30</v>
      </c>
      <c r="C120" s="109" t="s">
        <v>258</v>
      </c>
      <c r="D120" s="109" t="s">
        <v>258</v>
      </c>
      <c r="E120" s="115" t="s">
        <v>293</v>
      </c>
      <c r="F120" s="121" t="s">
        <v>285</v>
      </c>
      <c r="G120" s="101"/>
      <c r="H120" s="103" t="s">
        <v>129</v>
      </c>
      <c r="I120" s="116" t="s">
        <v>113</v>
      </c>
      <c r="J120" s="123">
        <v>0</v>
      </c>
      <c r="K120" s="123">
        <v>0</v>
      </c>
      <c r="L120" s="110" t="s">
        <v>74</v>
      </c>
      <c r="M120" s="117"/>
      <c r="N120" s="118"/>
      <c r="O120" s="114" t="s">
        <v>30</v>
      </c>
      <c r="P120" s="87"/>
      <c r="Q120" s="105"/>
      <c r="R120" s="102"/>
      <c r="S120" s="101"/>
      <c r="T120" s="82"/>
      <c r="U120" s="82"/>
      <c r="V120" s="82"/>
      <c r="W120" s="84"/>
      <c r="X120" s="82"/>
      <c r="Y120" s="82"/>
      <c r="Z120" s="101"/>
      <c r="AA120" s="84"/>
      <c r="AB120" s="101"/>
      <c r="AE120" s="116" t="s">
        <v>162</v>
      </c>
      <c r="AF120" s="119" t="str">
        <f t="shared" si="76"/>
        <v>1</v>
      </c>
      <c r="AG120" s="119" t="str">
        <f t="shared" si="77"/>
        <v>2</v>
      </c>
      <c r="AH120" s="119">
        <f t="shared" si="40"/>
        <v>4</v>
      </c>
      <c r="AI120" s="120">
        <f t="shared" si="78"/>
        <v>7</v>
      </c>
      <c r="AJ120" s="120">
        <f t="shared" si="79"/>
        <v>6</v>
      </c>
      <c r="AK120" s="119" t="str">
        <f t="shared" si="80"/>
        <v>3(1,2,</v>
      </c>
      <c r="AL120" s="119" t="str">
        <f t="shared" si="75"/>
        <v>3(1,2,4)</v>
      </c>
      <c r="AM120" s="116" t="s">
        <v>162</v>
      </c>
      <c r="AN120" s="119" t="str">
        <f t="shared" si="47"/>
        <v>3(1,2,4)</v>
      </c>
      <c r="AO120" s="119">
        <f t="shared" si="68"/>
        <v>1</v>
      </c>
      <c r="AP120" s="119">
        <f t="shared" si="69"/>
        <v>7</v>
      </c>
    </row>
    <row r="121" spans="1:42" x14ac:dyDescent="0.2">
      <c r="A121" s="2" t="s">
        <v>294</v>
      </c>
    </row>
  </sheetData>
  <autoFilter ref="A8:AP121" xr:uid="{00000000-0001-0000-0100-000000000000}"/>
  <mergeCells count="8">
    <mergeCell ref="A6:AB6"/>
    <mergeCell ref="A1:F1"/>
    <mergeCell ref="K1:AB1"/>
    <mergeCell ref="A2:F2"/>
    <mergeCell ref="K2:AB2"/>
    <mergeCell ref="A3:F3"/>
    <mergeCell ref="A4:F4"/>
    <mergeCell ref="K4:AB4"/>
  </mergeCells>
  <pageMargins left="0.2" right="0.2" top="0.4" bottom="0.5" header="0.3" footer="0"/>
  <pageSetup scale="77" fitToHeight="0" orientation="landscape" blackAndWhite="1" r:id="rId1"/>
  <headerFooter>
    <oddFooter>&amp;LBM03a-QT/11/P.QLĐT&amp;R&amp;P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  <pageSetUpPr fitToPage="1"/>
  </sheetPr>
  <dimension ref="A1:AI37"/>
  <sheetViews>
    <sheetView zoomScaleNormal="100" zoomScaleSheetLayoutView="100" workbookViewId="0">
      <selection activeCell="L8" sqref="L8:N8"/>
    </sheetView>
  </sheetViews>
  <sheetFormatPr defaultRowHeight="12.75" x14ac:dyDescent="0.2"/>
  <cols>
    <col min="1" max="1" width="4.85546875" style="2" customWidth="1"/>
    <col min="2" max="2" width="4.140625" style="2" customWidth="1"/>
    <col min="3" max="3" width="8.28515625" style="2" customWidth="1"/>
    <col min="4" max="4" width="10.7109375" style="2" customWidth="1"/>
    <col min="5" max="5" width="31.140625" style="3" customWidth="1"/>
    <col min="6" max="6" width="9" style="4" customWidth="1"/>
    <col min="7" max="7" width="9.85546875" style="30" hidden="1" customWidth="1"/>
    <col min="8" max="8" width="8" style="4" bestFit="1" customWidth="1"/>
    <col min="9" max="9" width="7.85546875" style="2" bestFit="1" customWidth="1"/>
    <col min="10" max="10" width="3.5703125" style="2" customWidth="1"/>
    <col min="11" max="11" width="3.42578125" style="2" customWidth="1"/>
    <col min="12" max="14" width="5.5703125" style="2" customWidth="1"/>
    <col min="15" max="15" width="5.85546875" style="2" customWidth="1"/>
    <col min="16" max="16" width="23.42578125" style="17" customWidth="1"/>
    <col min="17" max="17" width="5.5703125" style="17" customWidth="1"/>
    <col min="18" max="18" width="12.28515625" style="3" customWidth="1"/>
    <col min="19" max="19" width="5.42578125" style="2" customWidth="1"/>
    <col min="20" max="20" width="4.5703125" style="2" hidden="1" customWidth="1"/>
    <col min="21" max="21" width="4.140625" style="2" hidden="1" customWidth="1"/>
    <col min="22" max="22" width="4.5703125" style="2" hidden="1" customWidth="1"/>
    <col min="23" max="23" width="3.5703125" style="4" hidden="1" customWidth="1"/>
    <col min="24" max="25" width="3.5703125" style="2" hidden="1" customWidth="1"/>
    <col min="26" max="26" width="5.42578125" style="2" customWidth="1"/>
    <col min="27" max="27" width="18.85546875" style="4" hidden="1" customWidth="1"/>
    <col min="28" max="28" width="15.5703125" style="2" customWidth="1"/>
    <col min="29" max="29" width="9.140625" style="40" hidden="1" customWidth="1"/>
    <col min="30" max="30" width="9.140625" style="15" hidden="1" customWidth="1"/>
    <col min="31" max="35" width="0" style="15" hidden="1" customWidth="1"/>
    <col min="36" max="16384" width="9.140625" style="15"/>
  </cols>
  <sheetData>
    <row r="1" spans="1:35" s="5" customFormat="1" ht="16.5" customHeight="1" x14ac:dyDescent="0.25">
      <c r="A1" s="223" t="s">
        <v>62</v>
      </c>
      <c r="B1" s="223"/>
      <c r="C1" s="223"/>
      <c r="D1" s="223"/>
      <c r="E1" s="223"/>
      <c r="F1" s="223"/>
      <c r="G1" s="7"/>
      <c r="H1" s="7"/>
      <c r="J1" s="6"/>
      <c r="K1" s="222" t="s">
        <v>42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39"/>
    </row>
    <row r="2" spans="1:35" s="5" customFormat="1" ht="16.5" customHeight="1" x14ac:dyDescent="0.25">
      <c r="A2" s="222" t="s">
        <v>40</v>
      </c>
      <c r="B2" s="222"/>
      <c r="C2" s="222"/>
      <c r="D2" s="222"/>
      <c r="E2" s="222"/>
      <c r="F2" s="222"/>
      <c r="G2" s="6"/>
      <c r="H2" s="6"/>
      <c r="J2" s="6"/>
      <c r="K2" s="222" t="s">
        <v>47</v>
      </c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39"/>
    </row>
    <row r="3" spans="1:35" s="5" customFormat="1" ht="16.5" customHeight="1" x14ac:dyDescent="0.25">
      <c r="A3" s="222" t="s">
        <v>41</v>
      </c>
      <c r="B3" s="222"/>
      <c r="C3" s="222"/>
      <c r="D3" s="222"/>
      <c r="E3" s="222"/>
      <c r="F3" s="222"/>
      <c r="G3" s="6"/>
      <c r="H3" s="6"/>
      <c r="J3" s="7"/>
      <c r="K3" s="7"/>
      <c r="L3" s="7"/>
      <c r="M3" s="7"/>
      <c r="N3" s="7"/>
      <c r="O3" s="7"/>
      <c r="P3" s="16"/>
      <c r="Q3" s="16"/>
      <c r="R3" s="7"/>
      <c r="S3" s="7"/>
      <c r="T3" s="7"/>
      <c r="U3" s="7"/>
      <c r="V3" s="7"/>
      <c r="W3" s="9"/>
      <c r="X3" s="7"/>
      <c r="Y3" s="33"/>
      <c r="Z3" s="33"/>
      <c r="AA3" s="9"/>
      <c r="AB3" s="7"/>
      <c r="AC3" s="39"/>
    </row>
    <row r="4" spans="1:35" s="5" customFormat="1" ht="16.5" customHeight="1" x14ac:dyDescent="0.25">
      <c r="A4" s="223" t="s">
        <v>46</v>
      </c>
      <c r="B4" s="223"/>
      <c r="C4" s="223"/>
      <c r="D4" s="223"/>
      <c r="E4" s="223"/>
      <c r="F4" s="223"/>
      <c r="G4" s="7"/>
      <c r="H4" s="7"/>
      <c r="J4" s="8"/>
      <c r="K4" s="224" t="s">
        <v>43</v>
      </c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39"/>
    </row>
    <row r="5" spans="1:35" ht="12.75" customHeight="1" x14ac:dyDescent="0.3">
      <c r="A5" s="6"/>
      <c r="B5" s="6"/>
      <c r="C5" s="6"/>
      <c r="D5" s="6"/>
      <c r="E5" s="31"/>
      <c r="G5" s="21"/>
      <c r="I5" s="27"/>
    </row>
    <row r="6" spans="1:35" ht="15.75" x14ac:dyDescent="0.25">
      <c r="A6" s="222" t="s">
        <v>106</v>
      </c>
      <c r="B6" s="222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</row>
    <row r="7" spans="1:35" ht="12.75" customHeight="1" x14ac:dyDescent="0.3">
      <c r="G7" s="21"/>
      <c r="K7" s="10"/>
      <c r="L7" s="10"/>
      <c r="M7" s="10"/>
      <c r="N7" s="10"/>
      <c r="R7" s="28"/>
      <c r="S7" s="15"/>
      <c r="V7" s="15"/>
      <c r="W7" s="18"/>
      <c r="X7" s="19"/>
      <c r="Y7" s="19"/>
      <c r="Z7" s="19"/>
      <c r="AA7" s="42"/>
      <c r="AB7" s="29"/>
    </row>
    <row r="8" spans="1:35" s="12" customFormat="1" ht="46.5" customHeight="1" x14ac:dyDescent="0.25">
      <c r="A8" s="54" t="s">
        <v>61</v>
      </c>
      <c r="B8" s="54" t="s">
        <v>3</v>
      </c>
      <c r="C8" s="54" t="s">
        <v>64</v>
      </c>
      <c r="D8" s="54" t="s">
        <v>56</v>
      </c>
      <c r="E8" s="55" t="s">
        <v>67</v>
      </c>
      <c r="F8" s="56" t="s">
        <v>0</v>
      </c>
      <c r="G8" s="57" t="s">
        <v>39</v>
      </c>
      <c r="H8" s="55" t="s">
        <v>35</v>
      </c>
      <c r="I8" s="54" t="s">
        <v>48</v>
      </c>
      <c r="J8" s="54" t="s">
        <v>37</v>
      </c>
      <c r="K8" s="54" t="s">
        <v>38</v>
      </c>
      <c r="L8" s="67" t="s">
        <v>71</v>
      </c>
      <c r="M8" s="67" t="s">
        <v>72</v>
      </c>
      <c r="N8" s="67" t="s">
        <v>73</v>
      </c>
      <c r="O8" s="54" t="s">
        <v>32</v>
      </c>
      <c r="P8" s="54" t="s">
        <v>55</v>
      </c>
      <c r="Q8" s="54" t="s">
        <v>68</v>
      </c>
      <c r="R8" s="55" t="s">
        <v>4</v>
      </c>
      <c r="S8" s="54" t="s">
        <v>70</v>
      </c>
      <c r="T8" s="58" t="s">
        <v>49</v>
      </c>
      <c r="U8" s="58" t="s">
        <v>50</v>
      </c>
      <c r="V8" s="58" t="s">
        <v>51</v>
      </c>
      <c r="W8" s="59"/>
      <c r="X8" s="60" t="s">
        <v>52</v>
      </c>
      <c r="Y8" s="60"/>
      <c r="Z8" s="58" t="s">
        <v>53</v>
      </c>
      <c r="AA8" s="55" t="s">
        <v>44</v>
      </c>
      <c r="AB8" s="55" t="s">
        <v>5</v>
      </c>
      <c r="AC8" s="41" t="s">
        <v>60</v>
      </c>
      <c r="AD8" s="32" t="s">
        <v>61</v>
      </c>
      <c r="AH8" s="49" t="s">
        <v>63</v>
      </c>
    </row>
    <row r="9" spans="1:35" s="12" customFormat="1" ht="12" x14ac:dyDescent="0.2">
      <c r="A9" s="22">
        <f>SUBTOTAL(3,E$9:$E9)</f>
        <v>1</v>
      </c>
      <c r="B9" s="22" t="s">
        <v>6</v>
      </c>
      <c r="C9" s="22" t="s">
        <v>8</v>
      </c>
      <c r="D9" s="22" t="s">
        <v>8</v>
      </c>
      <c r="E9" s="13" t="s">
        <v>31</v>
      </c>
      <c r="F9" s="24" t="s">
        <v>57</v>
      </c>
      <c r="G9" s="50"/>
      <c r="H9" s="25" t="s">
        <v>36</v>
      </c>
      <c r="I9" s="14" t="s">
        <v>1</v>
      </c>
      <c r="J9" s="26">
        <v>45</v>
      </c>
      <c r="K9" s="22">
        <v>0</v>
      </c>
      <c r="L9" s="68" t="s">
        <v>74</v>
      </c>
      <c r="M9" s="68"/>
      <c r="N9" s="68"/>
      <c r="O9" s="24" t="s">
        <v>7</v>
      </c>
      <c r="P9" s="25"/>
      <c r="Q9" s="24">
        <v>7</v>
      </c>
      <c r="R9" s="23" t="s">
        <v>69</v>
      </c>
      <c r="S9" s="22">
        <v>57</v>
      </c>
      <c r="T9" s="63"/>
      <c r="U9" s="63"/>
      <c r="V9" s="63"/>
      <c r="W9" s="64"/>
      <c r="X9" s="63"/>
      <c r="Y9" s="63"/>
      <c r="Z9" s="20" t="s">
        <v>54</v>
      </c>
      <c r="AA9" s="65"/>
      <c r="AB9" s="51"/>
      <c r="AC9" s="37" t="s">
        <v>36</v>
      </c>
      <c r="AD9" s="35">
        <v>655</v>
      </c>
      <c r="AH9" s="12">
        <v>9</v>
      </c>
      <c r="AI9" s="12">
        <f t="shared" ref="AI9:AI19" si="0">VALUE(U9)-VALUE(T9)+1</f>
        <v>1</v>
      </c>
    </row>
    <row r="10" spans="1:35" s="12" customFormat="1" ht="12" x14ac:dyDescent="0.25">
      <c r="A10" s="22">
        <f>SUBTOTAL(3,E$9:$E10)</f>
        <v>2</v>
      </c>
      <c r="B10" s="22" t="s">
        <v>6</v>
      </c>
      <c r="C10" s="22" t="s">
        <v>8</v>
      </c>
      <c r="D10" s="22" t="s">
        <v>8</v>
      </c>
      <c r="E10" s="23" t="s">
        <v>28</v>
      </c>
      <c r="F10" s="24" t="s">
        <v>29</v>
      </c>
      <c r="G10" s="50"/>
      <c r="H10" s="25" t="s">
        <v>36</v>
      </c>
      <c r="I10" s="22" t="s">
        <v>1</v>
      </c>
      <c r="J10" s="26">
        <v>45</v>
      </c>
      <c r="K10" s="22">
        <v>0</v>
      </c>
      <c r="L10" s="68" t="s">
        <v>74</v>
      </c>
      <c r="M10" s="68"/>
      <c r="N10" s="68"/>
      <c r="O10" s="24" t="s">
        <v>33</v>
      </c>
      <c r="P10" s="25" t="s">
        <v>34</v>
      </c>
      <c r="Q10" s="24">
        <v>7</v>
      </c>
      <c r="R10" s="23" t="s">
        <v>69</v>
      </c>
      <c r="S10" s="22">
        <v>57</v>
      </c>
      <c r="T10" s="63"/>
      <c r="U10" s="63"/>
      <c r="V10" s="63"/>
      <c r="W10" s="64"/>
      <c r="X10" s="63"/>
      <c r="Y10" s="63"/>
      <c r="Z10" s="20" t="s">
        <v>54</v>
      </c>
      <c r="AA10" s="65"/>
      <c r="AB10" s="51"/>
      <c r="AC10" s="35" t="s">
        <v>45</v>
      </c>
      <c r="AD10" s="34">
        <v>432</v>
      </c>
      <c r="AH10" s="12">
        <v>10</v>
      </c>
      <c r="AI10" s="12">
        <f t="shared" si="0"/>
        <v>1</v>
      </c>
    </row>
    <row r="11" spans="1:35" s="12" customFormat="1" ht="12" x14ac:dyDescent="0.25">
      <c r="A11" s="22">
        <f>SUBTOTAL(3,E$9:$E11)</f>
        <v>3</v>
      </c>
      <c r="B11" s="22" t="s">
        <v>6</v>
      </c>
      <c r="C11" s="22" t="s">
        <v>8</v>
      </c>
      <c r="D11" s="22" t="s">
        <v>8</v>
      </c>
      <c r="E11" s="23" t="s">
        <v>10</v>
      </c>
      <c r="F11" s="24" t="s">
        <v>11</v>
      </c>
      <c r="G11" s="50"/>
      <c r="H11" s="25" t="s">
        <v>8</v>
      </c>
      <c r="I11" s="22" t="s">
        <v>2</v>
      </c>
      <c r="J11" s="26">
        <v>60</v>
      </c>
      <c r="K11" s="22">
        <v>0</v>
      </c>
      <c r="L11" s="68" t="s">
        <v>74</v>
      </c>
      <c r="M11" s="68"/>
      <c r="N11" s="68"/>
      <c r="O11" s="24" t="s">
        <v>30</v>
      </c>
      <c r="P11" s="25" t="s">
        <v>65</v>
      </c>
      <c r="Q11" s="24">
        <v>7</v>
      </c>
      <c r="R11" s="23" t="s">
        <v>69</v>
      </c>
      <c r="S11" s="22">
        <v>57</v>
      </c>
      <c r="T11" s="63"/>
      <c r="U11" s="63"/>
      <c r="V11" s="63"/>
      <c r="W11" s="64"/>
      <c r="X11" s="63"/>
      <c r="Y11" s="63"/>
      <c r="Z11" s="20" t="s">
        <v>54</v>
      </c>
      <c r="AA11" s="65"/>
      <c r="AB11" s="51"/>
      <c r="AC11" s="35" t="s">
        <v>45</v>
      </c>
      <c r="AD11" s="34">
        <v>440</v>
      </c>
      <c r="AH11" s="12">
        <v>11</v>
      </c>
      <c r="AI11" s="12">
        <f t="shared" si="0"/>
        <v>1</v>
      </c>
    </row>
    <row r="12" spans="1:35" s="12" customFormat="1" ht="12" x14ac:dyDescent="0.25">
      <c r="A12" s="22">
        <f>SUBTOTAL(3,E$9:$E12)</f>
        <v>4</v>
      </c>
      <c r="B12" s="22" t="s">
        <v>6</v>
      </c>
      <c r="C12" s="22" t="s">
        <v>8</v>
      </c>
      <c r="D12" s="22" t="s">
        <v>8</v>
      </c>
      <c r="E12" s="23" t="s">
        <v>12</v>
      </c>
      <c r="F12" s="24" t="s">
        <v>13</v>
      </c>
      <c r="G12" s="50"/>
      <c r="H12" s="25" t="s">
        <v>8</v>
      </c>
      <c r="I12" s="22" t="s">
        <v>1</v>
      </c>
      <c r="J12" s="26">
        <v>45</v>
      </c>
      <c r="K12" s="22">
        <v>0</v>
      </c>
      <c r="L12" s="68" t="s">
        <v>74</v>
      </c>
      <c r="M12" s="68"/>
      <c r="N12" s="68"/>
      <c r="O12" s="24" t="s">
        <v>30</v>
      </c>
      <c r="P12" s="25" t="s">
        <v>65</v>
      </c>
      <c r="Q12" s="24">
        <v>7</v>
      </c>
      <c r="R12" s="23" t="s">
        <v>69</v>
      </c>
      <c r="S12" s="22">
        <v>57</v>
      </c>
      <c r="T12" s="63"/>
      <c r="U12" s="63"/>
      <c r="V12" s="63"/>
      <c r="W12" s="64"/>
      <c r="X12" s="63"/>
      <c r="Y12" s="63"/>
      <c r="Z12" s="20" t="s">
        <v>54</v>
      </c>
      <c r="AA12" s="65"/>
      <c r="AB12" s="51"/>
      <c r="AC12" s="36" t="s">
        <v>59</v>
      </c>
      <c r="AD12" s="35">
        <v>387</v>
      </c>
      <c r="AH12" s="12">
        <v>25</v>
      </c>
      <c r="AI12" s="12">
        <f t="shared" si="0"/>
        <v>1</v>
      </c>
    </row>
    <row r="13" spans="1:35" s="12" customFormat="1" ht="12" x14ac:dyDescent="0.25">
      <c r="A13" s="22">
        <f>SUBTOTAL(3,E$9:$E13)</f>
        <v>5</v>
      </c>
      <c r="B13" s="22" t="s">
        <v>6</v>
      </c>
      <c r="C13" s="22" t="s">
        <v>8</v>
      </c>
      <c r="D13" s="22" t="s">
        <v>8</v>
      </c>
      <c r="E13" s="23" t="s">
        <v>22</v>
      </c>
      <c r="F13" s="24" t="s">
        <v>23</v>
      </c>
      <c r="G13" s="50"/>
      <c r="H13" s="25" t="s">
        <v>8</v>
      </c>
      <c r="I13" s="22" t="s">
        <v>9</v>
      </c>
      <c r="J13" s="26">
        <v>0</v>
      </c>
      <c r="K13" s="22">
        <v>90</v>
      </c>
      <c r="L13" s="68"/>
      <c r="M13" s="68"/>
      <c r="N13" s="68" t="s">
        <v>74</v>
      </c>
      <c r="O13" s="24" t="s">
        <v>30</v>
      </c>
      <c r="P13" s="25" t="s">
        <v>65</v>
      </c>
      <c r="Q13" s="24">
        <v>7</v>
      </c>
      <c r="R13" s="23" t="s">
        <v>69</v>
      </c>
      <c r="S13" s="22">
        <v>57</v>
      </c>
      <c r="T13" s="63"/>
      <c r="U13" s="63"/>
      <c r="V13" s="63"/>
      <c r="W13" s="64"/>
      <c r="X13" s="63"/>
      <c r="Y13" s="63"/>
      <c r="Z13" s="20" t="s">
        <v>54</v>
      </c>
      <c r="AA13" s="65"/>
      <c r="AB13" s="51"/>
      <c r="AC13" s="35" t="s">
        <v>59</v>
      </c>
      <c r="AD13" s="35">
        <v>406</v>
      </c>
      <c r="AH13" s="12">
        <v>27</v>
      </c>
      <c r="AI13" s="12">
        <f>VALUE(U13)-VALUE(T13)+1</f>
        <v>1</v>
      </c>
    </row>
    <row r="14" spans="1:35" s="12" customFormat="1" ht="12" x14ac:dyDescent="0.25">
      <c r="A14" s="22">
        <f>SUBTOTAL(3,E$9:$E14)</f>
        <v>6</v>
      </c>
      <c r="B14" s="22" t="s">
        <v>6</v>
      </c>
      <c r="C14" s="22" t="s">
        <v>8</v>
      </c>
      <c r="D14" s="22" t="s">
        <v>8</v>
      </c>
      <c r="E14" s="23" t="s">
        <v>14</v>
      </c>
      <c r="F14" s="24" t="s">
        <v>15</v>
      </c>
      <c r="G14" s="50"/>
      <c r="H14" s="25" t="s">
        <v>8</v>
      </c>
      <c r="I14" s="22" t="s">
        <v>2</v>
      </c>
      <c r="J14" s="26">
        <v>60</v>
      </c>
      <c r="K14" s="22">
        <v>0</v>
      </c>
      <c r="L14" s="68" t="s">
        <v>74</v>
      </c>
      <c r="M14" s="68"/>
      <c r="N14" s="68"/>
      <c r="O14" s="24" t="s">
        <v>33</v>
      </c>
      <c r="P14" s="25" t="s">
        <v>34</v>
      </c>
      <c r="Q14" s="24">
        <v>7</v>
      </c>
      <c r="R14" s="23" t="s">
        <v>69</v>
      </c>
      <c r="S14" s="22">
        <v>57</v>
      </c>
      <c r="T14" s="63"/>
      <c r="U14" s="63"/>
      <c r="V14" s="63"/>
      <c r="W14" s="64"/>
      <c r="X14" s="63"/>
      <c r="Y14" s="63"/>
      <c r="Z14" s="20" t="s">
        <v>54</v>
      </c>
      <c r="AA14" s="65"/>
      <c r="AB14" s="51"/>
      <c r="AC14" s="52" t="s">
        <v>58</v>
      </c>
      <c r="AD14" s="34">
        <v>271</v>
      </c>
      <c r="AH14" s="12">
        <v>19</v>
      </c>
      <c r="AI14" s="12">
        <f t="shared" si="0"/>
        <v>1</v>
      </c>
    </row>
    <row r="15" spans="1:35" s="12" customFormat="1" ht="12" x14ac:dyDescent="0.25">
      <c r="A15" s="22">
        <f>SUBTOTAL(3,E$9:$E15)</f>
        <v>7</v>
      </c>
      <c r="B15" s="22" t="s">
        <v>6</v>
      </c>
      <c r="C15" s="22" t="s">
        <v>8</v>
      </c>
      <c r="D15" s="22" t="s">
        <v>8</v>
      </c>
      <c r="E15" s="23" t="s">
        <v>18</v>
      </c>
      <c r="F15" s="24" t="s">
        <v>19</v>
      </c>
      <c r="G15" s="50"/>
      <c r="H15" s="25" t="s">
        <v>8</v>
      </c>
      <c r="I15" s="22" t="s">
        <v>2</v>
      </c>
      <c r="J15" s="26">
        <v>60</v>
      </c>
      <c r="K15" s="22">
        <v>0</v>
      </c>
      <c r="L15" s="68" t="s">
        <v>74</v>
      </c>
      <c r="M15" s="68"/>
      <c r="N15" s="68"/>
      <c r="O15" s="24" t="s">
        <v>33</v>
      </c>
      <c r="P15" s="25" t="s">
        <v>34</v>
      </c>
      <c r="Q15" s="24">
        <v>7</v>
      </c>
      <c r="R15" s="23" t="s">
        <v>69</v>
      </c>
      <c r="S15" s="22">
        <v>57</v>
      </c>
      <c r="T15" s="63"/>
      <c r="U15" s="63"/>
      <c r="V15" s="63"/>
      <c r="W15" s="64"/>
      <c r="X15" s="63"/>
      <c r="Y15" s="63"/>
      <c r="Z15" s="20" t="s">
        <v>54</v>
      </c>
      <c r="AA15" s="65"/>
      <c r="AB15" s="51"/>
      <c r="AC15" s="35" t="s">
        <v>59</v>
      </c>
      <c r="AD15" s="34">
        <v>401</v>
      </c>
      <c r="AH15" s="12">
        <v>26</v>
      </c>
      <c r="AI15" s="12">
        <f t="shared" si="0"/>
        <v>1</v>
      </c>
    </row>
    <row r="16" spans="1:35" s="12" customFormat="1" ht="12" x14ac:dyDescent="0.25">
      <c r="A16" s="22">
        <f>SUBTOTAL(3,E$9:$E16)</f>
        <v>8</v>
      </c>
      <c r="B16" s="22" t="s">
        <v>6</v>
      </c>
      <c r="C16" s="22" t="s">
        <v>8</v>
      </c>
      <c r="D16" s="22" t="s">
        <v>8</v>
      </c>
      <c r="E16" s="23" t="s">
        <v>20</v>
      </c>
      <c r="F16" s="24" t="s">
        <v>21</v>
      </c>
      <c r="G16" s="50"/>
      <c r="H16" s="25" t="s">
        <v>8</v>
      </c>
      <c r="I16" s="22" t="s">
        <v>1</v>
      </c>
      <c r="J16" s="26">
        <v>45</v>
      </c>
      <c r="K16" s="22">
        <v>0</v>
      </c>
      <c r="L16" s="68" t="s">
        <v>74</v>
      </c>
      <c r="M16" s="68"/>
      <c r="N16" s="68"/>
      <c r="O16" s="24" t="s">
        <v>30</v>
      </c>
      <c r="P16" s="25" t="s">
        <v>66</v>
      </c>
      <c r="Q16" s="24">
        <v>7</v>
      </c>
      <c r="R16" s="23" t="s">
        <v>69</v>
      </c>
      <c r="S16" s="22">
        <v>57</v>
      </c>
      <c r="T16" s="63"/>
      <c r="U16" s="63"/>
      <c r="V16" s="63"/>
      <c r="W16" s="64"/>
      <c r="X16" s="63"/>
      <c r="Y16" s="63"/>
      <c r="Z16" s="20" t="s">
        <v>54</v>
      </c>
      <c r="AA16" s="65"/>
      <c r="AB16" s="51"/>
      <c r="AC16" s="53" t="s">
        <v>58</v>
      </c>
      <c r="AD16" s="35">
        <v>273</v>
      </c>
      <c r="AH16" s="12">
        <v>21</v>
      </c>
      <c r="AI16" s="12">
        <f t="shared" si="0"/>
        <v>1</v>
      </c>
    </row>
    <row r="17" spans="1:35" s="12" customFormat="1" ht="12" x14ac:dyDescent="0.25">
      <c r="A17" s="22">
        <f>SUBTOTAL(3,E$9:$E17)</f>
        <v>9</v>
      </c>
      <c r="B17" s="22" t="s">
        <v>6</v>
      </c>
      <c r="C17" s="22" t="s">
        <v>8</v>
      </c>
      <c r="D17" s="22" t="s">
        <v>8</v>
      </c>
      <c r="E17" s="23" t="s">
        <v>16</v>
      </c>
      <c r="F17" s="24" t="s">
        <v>17</v>
      </c>
      <c r="G17" s="50"/>
      <c r="H17" s="25" t="s">
        <v>8</v>
      </c>
      <c r="I17" s="22" t="s">
        <v>2</v>
      </c>
      <c r="J17" s="26">
        <v>60</v>
      </c>
      <c r="K17" s="22">
        <v>0</v>
      </c>
      <c r="L17" s="68" t="s">
        <v>74</v>
      </c>
      <c r="M17" s="68"/>
      <c r="N17" s="68"/>
      <c r="O17" s="24" t="s">
        <v>30</v>
      </c>
      <c r="P17" s="25" t="s">
        <v>66</v>
      </c>
      <c r="Q17" s="24">
        <v>7</v>
      </c>
      <c r="R17" s="23" t="s">
        <v>69</v>
      </c>
      <c r="S17" s="22">
        <v>57</v>
      </c>
      <c r="T17" s="63"/>
      <c r="U17" s="63"/>
      <c r="V17" s="63"/>
      <c r="W17" s="64"/>
      <c r="X17" s="63"/>
      <c r="Y17" s="63"/>
      <c r="Z17" s="20" t="s">
        <v>54</v>
      </c>
      <c r="AA17" s="65"/>
      <c r="AB17" s="51"/>
      <c r="AC17" s="38" t="s">
        <v>58</v>
      </c>
      <c r="AD17" s="35">
        <v>272</v>
      </c>
      <c r="AH17" s="12">
        <v>20</v>
      </c>
      <c r="AI17" s="12">
        <f>VALUE(U17)-VALUE(T17)+1</f>
        <v>1</v>
      </c>
    </row>
    <row r="18" spans="1:35" s="12" customFormat="1" ht="12" x14ac:dyDescent="0.25">
      <c r="A18" s="22">
        <f>SUBTOTAL(3,E$9:$E18)</f>
        <v>10</v>
      </c>
      <c r="B18" s="22" t="s">
        <v>6</v>
      </c>
      <c r="C18" s="22" t="s">
        <v>8</v>
      </c>
      <c r="D18" s="22" t="s">
        <v>8</v>
      </c>
      <c r="E18" s="23" t="s">
        <v>24</v>
      </c>
      <c r="F18" s="24" t="s">
        <v>25</v>
      </c>
      <c r="G18" s="50"/>
      <c r="H18" s="25" t="s">
        <v>8</v>
      </c>
      <c r="I18" s="22" t="s">
        <v>9</v>
      </c>
      <c r="J18" s="26">
        <v>0</v>
      </c>
      <c r="K18" s="22">
        <v>90</v>
      </c>
      <c r="L18" s="68"/>
      <c r="M18" s="68"/>
      <c r="N18" s="68" t="s">
        <v>74</v>
      </c>
      <c r="O18" s="24" t="s">
        <v>30</v>
      </c>
      <c r="P18" s="25" t="s">
        <v>66</v>
      </c>
      <c r="Q18" s="24">
        <v>7</v>
      </c>
      <c r="R18" s="23" t="s">
        <v>69</v>
      </c>
      <c r="S18" s="22">
        <v>57</v>
      </c>
      <c r="T18" s="63"/>
      <c r="U18" s="63"/>
      <c r="V18" s="63"/>
      <c r="W18" s="64"/>
      <c r="X18" s="63"/>
      <c r="Y18" s="63"/>
      <c r="Z18" s="20" t="s">
        <v>54</v>
      </c>
      <c r="AA18" s="65"/>
      <c r="AB18" s="51"/>
      <c r="AC18" s="35" t="s">
        <v>45</v>
      </c>
      <c r="AD18" s="34">
        <v>433</v>
      </c>
      <c r="AH18" s="12">
        <v>23</v>
      </c>
      <c r="AI18" s="12">
        <f t="shared" si="0"/>
        <v>1</v>
      </c>
    </row>
    <row r="19" spans="1:35" s="12" customFormat="1" ht="12" x14ac:dyDescent="0.25">
      <c r="A19" s="22">
        <f>SUBTOTAL(3,E$9:$E19)</f>
        <v>11</v>
      </c>
      <c r="B19" s="22" t="s">
        <v>6</v>
      </c>
      <c r="C19" s="22" t="s">
        <v>8</v>
      </c>
      <c r="D19" s="22" t="s">
        <v>8</v>
      </c>
      <c r="E19" s="23" t="s">
        <v>26</v>
      </c>
      <c r="F19" s="24" t="s">
        <v>27</v>
      </c>
      <c r="G19" s="50"/>
      <c r="H19" s="25" t="s">
        <v>8</v>
      </c>
      <c r="I19" s="22" t="s">
        <v>9</v>
      </c>
      <c r="J19" s="26">
        <v>0</v>
      </c>
      <c r="K19" s="22">
        <v>90</v>
      </c>
      <c r="L19" s="68"/>
      <c r="M19" s="68"/>
      <c r="N19" s="68" t="s">
        <v>74</v>
      </c>
      <c r="O19" s="24" t="s">
        <v>33</v>
      </c>
      <c r="P19" s="25" t="s">
        <v>34</v>
      </c>
      <c r="Q19" s="24">
        <v>7</v>
      </c>
      <c r="R19" s="23" t="s">
        <v>69</v>
      </c>
      <c r="S19" s="22">
        <v>57</v>
      </c>
      <c r="T19" s="63"/>
      <c r="U19" s="63"/>
      <c r="V19" s="63"/>
      <c r="W19" s="64"/>
      <c r="X19" s="63"/>
      <c r="Y19" s="63"/>
      <c r="Z19" s="20" t="s">
        <v>54</v>
      </c>
      <c r="AA19" s="65"/>
      <c r="AB19" s="51"/>
      <c r="AC19" s="35" t="s">
        <v>59</v>
      </c>
      <c r="AD19" s="35">
        <v>410</v>
      </c>
      <c r="AH19" s="12">
        <v>29</v>
      </c>
      <c r="AI19" s="12">
        <f t="shared" si="0"/>
        <v>1</v>
      </c>
    </row>
    <row r="20" spans="1:35" s="12" customFormat="1" ht="12" x14ac:dyDescent="0.25">
      <c r="A20" s="22">
        <f>SUBTOTAL(3,E$9:$E20)</f>
        <v>12</v>
      </c>
      <c r="B20" s="22" t="s">
        <v>6</v>
      </c>
      <c r="C20" s="22" t="s">
        <v>104</v>
      </c>
      <c r="D20" s="22" t="s">
        <v>104</v>
      </c>
      <c r="E20" s="23" t="s">
        <v>86</v>
      </c>
      <c r="F20" s="24" t="s">
        <v>84</v>
      </c>
      <c r="G20" s="50" t="s">
        <v>85</v>
      </c>
      <c r="H20" s="25" t="s">
        <v>104</v>
      </c>
      <c r="I20" s="22" t="s">
        <v>102</v>
      </c>
      <c r="J20" s="26">
        <v>30</v>
      </c>
      <c r="K20" s="22"/>
      <c r="L20" s="68" t="s">
        <v>74</v>
      </c>
      <c r="M20" s="68"/>
      <c r="N20" s="68"/>
      <c r="O20" s="24" t="s">
        <v>33</v>
      </c>
      <c r="P20" s="25"/>
      <c r="Q20" s="24">
        <v>10</v>
      </c>
      <c r="R20" s="22" t="s">
        <v>105</v>
      </c>
      <c r="S20" s="69">
        <v>35</v>
      </c>
      <c r="T20" s="63"/>
      <c r="U20" s="63"/>
      <c r="V20" s="63"/>
      <c r="W20" s="64"/>
      <c r="X20" s="63"/>
      <c r="Y20" s="63"/>
      <c r="Z20" s="20" t="s">
        <v>54</v>
      </c>
      <c r="AA20" s="65"/>
      <c r="AB20" s="51"/>
      <c r="AC20" s="35"/>
      <c r="AD20" s="35"/>
    </row>
    <row r="21" spans="1:35" s="12" customFormat="1" ht="12" x14ac:dyDescent="0.25">
      <c r="A21" s="22">
        <f>SUBTOTAL(3,E$9:$E21)</f>
        <v>13</v>
      </c>
      <c r="B21" s="22" t="s">
        <v>6</v>
      </c>
      <c r="C21" s="22" t="s">
        <v>104</v>
      </c>
      <c r="D21" s="22" t="s">
        <v>104</v>
      </c>
      <c r="E21" s="23" t="s">
        <v>90</v>
      </c>
      <c r="F21" s="24" t="s">
        <v>88</v>
      </c>
      <c r="G21" s="50" t="s">
        <v>89</v>
      </c>
      <c r="H21" s="25" t="s">
        <v>104</v>
      </c>
      <c r="I21" s="22" t="s">
        <v>102</v>
      </c>
      <c r="J21" s="26">
        <v>30</v>
      </c>
      <c r="K21" s="22"/>
      <c r="L21" s="68" t="s">
        <v>74</v>
      </c>
      <c r="M21" s="68"/>
      <c r="N21" s="68"/>
      <c r="O21" s="24" t="s">
        <v>33</v>
      </c>
      <c r="P21" s="25"/>
      <c r="Q21" s="24">
        <v>10</v>
      </c>
      <c r="R21" s="22" t="s">
        <v>105</v>
      </c>
      <c r="S21" s="69">
        <v>35</v>
      </c>
      <c r="T21" s="63"/>
      <c r="U21" s="63"/>
      <c r="V21" s="63"/>
      <c r="W21" s="64"/>
      <c r="X21" s="63"/>
      <c r="Y21" s="63"/>
      <c r="Z21" s="20" t="s">
        <v>54</v>
      </c>
      <c r="AA21" s="65"/>
      <c r="AB21" s="51"/>
      <c r="AC21" s="35"/>
      <c r="AD21" s="35"/>
    </row>
    <row r="22" spans="1:35" s="12" customFormat="1" ht="12" x14ac:dyDescent="0.25">
      <c r="A22" s="22">
        <f>SUBTOTAL(3,E$9:$E22)</f>
        <v>14</v>
      </c>
      <c r="B22" s="22" t="s">
        <v>6</v>
      </c>
      <c r="C22" s="22" t="s">
        <v>104</v>
      </c>
      <c r="D22" s="22" t="s">
        <v>104</v>
      </c>
      <c r="E22" s="23" t="s">
        <v>93</v>
      </c>
      <c r="F22" s="24" t="s">
        <v>91</v>
      </c>
      <c r="G22" s="50" t="s">
        <v>92</v>
      </c>
      <c r="H22" s="25" t="s">
        <v>104</v>
      </c>
      <c r="I22" s="22" t="s">
        <v>102</v>
      </c>
      <c r="J22" s="26">
        <v>30</v>
      </c>
      <c r="K22" s="22"/>
      <c r="L22" s="68" t="s">
        <v>74</v>
      </c>
      <c r="M22" s="68"/>
      <c r="N22" s="68"/>
      <c r="O22" s="24" t="s">
        <v>33</v>
      </c>
      <c r="P22" s="25"/>
      <c r="Q22" s="24">
        <v>10</v>
      </c>
      <c r="R22" s="22" t="s">
        <v>105</v>
      </c>
      <c r="S22" s="69">
        <v>35</v>
      </c>
      <c r="T22" s="63"/>
      <c r="U22" s="63"/>
      <c r="V22" s="63"/>
      <c r="W22" s="64"/>
      <c r="X22" s="63"/>
      <c r="Y22" s="63"/>
      <c r="Z22" s="20" t="s">
        <v>54</v>
      </c>
      <c r="AA22" s="65"/>
      <c r="AB22" s="51"/>
      <c r="AC22" s="35"/>
      <c r="AD22" s="35"/>
    </row>
    <row r="23" spans="1:35" s="12" customFormat="1" ht="12" x14ac:dyDescent="0.25">
      <c r="A23" s="22">
        <f>SUBTOTAL(3,E$9:$E23)</f>
        <v>15</v>
      </c>
      <c r="B23" s="22" t="s">
        <v>6</v>
      </c>
      <c r="C23" s="22" t="s">
        <v>104</v>
      </c>
      <c r="D23" s="22" t="s">
        <v>104</v>
      </c>
      <c r="E23" s="23" t="s">
        <v>96</v>
      </c>
      <c r="F23" s="24" t="s">
        <v>94</v>
      </c>
      <c r="G23" s="50" t="s">
        <v>95</v>
      </c>
      <c r="H23" s="25" t="s">
        <v>104</v>
      </c>
      <c r="I23" s="22" t="s">
        <v>103</v>
      </c>
      <c r="J23" s="26"/>
      <c r="K23" s="22">
        <v>45</v>
      </c>
      <c r="L23" s="68"/>
      <c r="M23" s="68" t="s">
        <v>74</v>
      </c>
      <c r="N23" s="68"/>
      <c r="O23" s="24" t="s">
        <v>33</v>
      </c>
      <c r="P23" s="25"/>
      <c r="Q23" s="24">
        <v>10</v>
      </c>
      <c r="R23" s="22" t="s">
        <v>105</v>
      </c>
      <c r="S23" s="69">
        <v>35</v>
      </c>
      <c r="T23" s="63"/>
      <c r="U23" s="63"/>
      <c r="V23" s="63"/>
      <c r="W23" s="64"/>
      <c r="X23" s="63"/>
      <c r="Y23" s="63"/>
      <c r="Z23" s="20" t="s">
        <v>54</v>
      </c>
      <c r="AA23" s="65"/>
      <c r="AB23" s="51"/>
      <c r="AC23" s="35"/>
      <c r="AD23" s="35"/>
    </row>
    <row r="24" spans="1:35" s="12" customFormat="1" ht="12" x14ac:dyDescent="0.25">
      <c r="A24" s="22">
        <f>SUBTOTAL(3,E$9:$E24)</f>
        <v>16</v>
      </c>
      <c r="B24" s="22" t="s">
        <v>6</v>
      </c>
      <c r="C24" s="22" t="s">
        <v>104</v>
      </c>
      <c r="D24" s="22" t="s">
        <v>104</v>
      </c>
      <c r="E24" s="23" t="s">
        <v>77</v>
      </c>
      <c r="F24" s="24" t="s">
        <v>75</v>
      </c>
      <c r="G24" s="50" t="s">
        <v>76</v>
      </c>
      <c r="H24" s="25" t="s">
        <v>104</v>
      </c>
      <c r="I24" s="22" t="s">
        <v>100</v>
      </c>
      <c r="J24" s="26"/>
      <c r="K24" s="22">
        <v>135</v>
      </c>
      <c r="L24" s="68"/>
      <c r="M24" s="68"/>
      <c r="N24" s="68" t="s">
        <v>74</v>
      </c>
      <c r="O24" s="24" t="s">
        <v>33</v>
      </c>
      <c r="P24" s="25"/>
      <c r="Q24" s="24">
        <v>10</v>
      </c>
      <c r="R24" s="22" t="s">
        <v>105</v>
      </c>
      <c r="S24" s="69">
        <v>35</v>
      </c>
      <c r="T24" s="63"/>
      <c r="U24" s="63"/>
      <c r="V24" s="63"/>
      <c r="W24" s="64"/>
      <c r="X24" s="63"/>
      <c r="Y24" s="63"/>
      <c r="Z24" s="20" t="s">
        <v>54</v>
      </c>
      <c r="AA24" s="65"/>
      <c r="AB24" s="51"/>
      <c r="AC24" s="35"/>
      <c r="AD24" s="35"/>
    </row>
    <row r="25" spans="1:35" s="12" customFormat="1" ht="12" x14ac:dyDescent="0.25">
      <c r="A25" s="22">
        <f>SUBTOTAL(3,E$9:$E25)</f>
        <v>17</v>
      </c>
      <c r="B25" s="22" t="s">
        <v>6</v>
      </c>
      <c r="C25" s="22" t="s">
        <v>104</v>
      </c>
      <c r="D25" s="22" t="s">
        <v>104</v>
      </c>
      <c r="E25" s="23" t="s">
        <v>82</v>
      </c>
      <c r="F25" s="24" t="s">
        <v>80</v>
      </c>
      <c r="G25" s="50" t="s">
        <v>81</v>
      </c>
      <c r="H25" s="25" t="s">
        <v>104</v>
      </c>
      <c r="I25" s="22" t="s">
        <v>101</v>
      </c>
      <c r="J25" s="26"/>
      <c r="K25" s="22">
        <v>90</v>
      </c>
      <c r="L25" s="68"/>
      <c r="M25" s="68"/>
      <c r="N25" s="68" t="s">
        <v>74</v>
      </c>
      <c r="O25" s="24" t="s">
        <v>33</v>
      </c>
      <c r="P25" s="25"/>
      <c r="Q25" s="24">
        <v>10</v>
      </c>
      <c r="R25" s="22" t="s">
        <v>105</v>
      </c>
      <c r="S25" s="69">
        <v>35</v>
      </c>
      <c r="T25" s="63"/>
      <c r="U25" s="63"/>
      <c r="V25" s="63"/>
      <c r="W25" s="64"/>
      <c r="X25" s="63"/>
      <c r="Y25" s="63"/>
      <c r="Z25" s="20" t="s">
        <v>54</v>
      </c>
      <c r="AA25" s="65"/>
      <c r="AB25" s="51"/>
      <c r="AC25" s="35"/>
      <c r="AD25" s="35"/>
    </row>
    <row r="26" spans="1:35" s="1" customFormat="1" ht="21" customHeight="1" x14ac:dyDescent="0.25">
      <c r="A26" s="229"/>
      <c r="B26" s="229"/>
      <c r="C26" s="229"/>
      <c r="D26" s="230"/>
      <c r="E26" s="229"/>
      <c r="F26" s="3"/>
      <c r="G26" s="3"/>
      <c r="H26" s="4"/>
      <c r="I26" s="11"/>
      <c r="J26" s="11"/>
      <c r="L26" s="4"/>
      <c r="M26" s="4"/>
      <c r="N26" s="4"/>
      <c r="O26" s="4"/>
      <c r="P26" s="4"/>
      <c r="Q26" s="4"/>
      <c r="R26" s="4"/>
      <c r="AA26" s="43"/>
      <c r="AC26" s="40"/>
    </row>
    <row r="27" spans="1:35" s="45" customFormat="1" ht="19.5" customHeight="1" x14ac:dyDescent="0.25">
      <c r="A27" s="46"/>
      <c r="B27" s="46"/>
      <c r="T27" s="44"/>
      <c r="U27" s="44"/>
      <c r="V27" s="66"/>
      <c r="W27" s="66"/>
      <c r="X27" s="66"/>
      <c r="Y27" s="66"/>
      <c r="Z27" s="66"/>
      <c r="AA27" s="66"/>
      <c r="AB27" s="44"/>
    </row>
    <row r="28" spans="1:35" s="45" customFormat="1" ht="18" customHeight="1" x14ac:dyDescent="0.25">
      <c r="A28" s="61"/>
      <c r="B28" s="61"/>
      <c r="T28" s="44"/>
      <c r="U28" s="44"/>
      <c r="V28" s="66"/>
      <c r="W28" s="66"/>
      <c r="X28" s="66"/>
      <c r="Y28" s="66"/>
      <c r="Z28" s="66"/>
      <c r="AA28" s="66"/>
      <c r="AB28" s="44"/>
    </row>
    <row r="29" spans="1:35" s="45" customFormat="1" ht="15.75" customHeight="1" x14ac:dyDescent="0.25">
      <c r="A29" s="46"/>
      <c r="B29" s="48"/>
      <c r="T29" s="44"/>
      <c r="U29" s="44"/>
      <c r="V29" s="47"/>
      <c r="W29" s="47"/>
      <c r="X29" s="47"/>
      <c r="Y29" s="47"/>
      <c r="Z29" s="47"/>
      <c r="AA29" s="47"/>
      <c r="AB29" s="44"/>
    </row>
    <row r="30" spans="1:35" s="45" customFormat="1" ht="15.75" customHeight="1" x14ac:dyDescent="0.25">
      <c r="A30" s="46"/>
      <c r="B30" s="48"/>
      <c r="T30" s="44"/>
      <c r="U30" s="44"/>
      <c r="V30" s="228"/>
      <c r="W30" s="228"/>
      <c r="X30" s="228"/>
      <c r="Y30" s="228"/>
      <c r="Z30" s="228"/>
      <c r="AA30" s="228"/>
      <c r="AB30" s="44"/>
    </row>
    <row r="31" spans="1:35" x14ac:dyDescent="0.2">
      <c r="B31" s="48"/>
      <c r="L31" s="4"/>
      <c r="M31" s="4"/>
      <c r="N31" s="4"/>
      <c r="O31" s="4"/>
      <c r="P31" s="4"/>
      <c r="Q31" s="4"/>
      <c r="R31" s="4"/>
      <c r="AC31" s="15"/>
    </row>
    <row r="32" spans="1:35" ht="12.75" hidden="1" customHeight="1" x14ac:dyDescent="0.2">
      <c r="B32" s="3"/>
      <c r="L32" s="68" t="s">
        <v>97</v>
      </c>
      <c r="M32" s="68" t="s">
        <v>87</v>
      </c>
      <c r="N32" s="68" t="s">
        <v>98</v>
      </c>
      <c r="O32" s="24" t="s">
        <v>99</v>
      </c>
      <c r="P32" s="25" t="s">
        <v>78</v>
      </c>
      <c r="Q32" s="24" t="s">
        <v>83</v>
      </c>
      <c r="R32" s="23" t="s">
        <v>79</v>
      </c>
      <c r="AC32" s="15"/>
    </row>
    <row r="33" spans="1:28" s="3" customFormat="1" ht="12.75" hidden="1" customHeight="1" x14ac:dyDescent="0.2">
      <c r="A33" s="2"/>
      <c r="T33" s="2"/>
      <c r="U33" s="2"/>
      <c r="V33" s="2"/>
      <c r="W33" s="4"/>
      <c r="X33" s="2"/>
      <c r="Y33" s="2"/>
      <c r="Z33" s="2"/>
      <c r="AA33" s="4"/>
      <c r="AB33" s="2"/>
    </row>
    <row r="34" spans="1:28" ht="15.75" customHeight="1" x14ac:dyDescent="0.2">
      <c r="B34" s="62"/>
    </row>
    <row r="35" spans="1:28" ht="15.75" customHeight="1" x14ac:dyDescent="0.2">
      <c r="B35" s="48"/>
    </row>
    <row r="36" spans="1:28" ht="15.75" customHeight="1" x14ac:dyDescent="0.2">
      <c r="B36" s="62"/>
      <c r="C36" s="62"/>
      <c r="D36" s="62"/>
      <c r="E36" s="62"/>
      <c r="G36" s="4"/>
    </row>
    <row r="37" spans="1:28" ht="12" x14ac:dyDescent="0.2">
      <c r="G37" s="4"/>
    </row>
  </sheetData>
  <sortState xmlns:xlrd2="http://schemas.microsoft.com/office/spreadsheetml/2017/richdata2" ref="A9:AI965">
    <sortCondition ref="B9:B965"/>
    <sortCondition ref="R9:R965"/>
  </sortState>
  <mergeCells count="10">
    <mergeCell ref="V30:AA30"/>
    <mergeCell ref="A26:E26"/>
    <mergeCell ref="K4:AB4"/>
    <mergeCell ref="K1:AB1"/>
    <mergeCell ref="K2:AB2"/>
    <mergeCell ref="A6:AB6"/>
    <mergeCell ref="A1:F1"/>
    <mergeCell ref="A2:F2"/>
    <mergeCell ref="A3:F3"/>
    <mergeCell ref="A4:F4"/>
  </mergeCells>
  <pageMargins left="0.2" right="0.2" top="0.4" bottom="0.5" header="0.3" footer="0"/>
  <pageSetup scale="74" fitToHeight="0" orientation="landscape" blackAndWhite="1" r:id="rId1"/>
  <headerFooter>
    <oddFooter>&amp;LBM03a-QT/11/P.QLĐT&amp;R&amp;P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HK1</vt:lpstr>
      <vt:lpstr>HK2</vt:lpstr>
      <vt:lpstr>Danhmuc_Caodang_Trungcap_xuly</vt:lpstr>
      <vt:lpstr>Vidu</vt:lpstr>
      <vt:lpstr>'HK2'!_Hlk156921854</vt:lpstr>
      <vt:lpstr>Danhmuc_Caodang_Trungcap_xuly!Print_Area</vt:lpstr>
      <vt:lpstr>'HK1'!Print_Area</vt:lpstr>
      <vt:lpstr>'HK2'!Print_Area</vt:lpstr>
      <vt:lpstr>Vidu!Print_Area</vt:lpstr>
      <vt:lpstr>Danhmuc_Caodang_Trungcap_xuly!Print_Titles</vt:lpstr>
      <vt:lpstr>'HK1'!Print_Titles</vt:lpstr>
      <vt:lpstr>'HK2'!Print_Titles</vt:lpstr>
      <vt:lpstr>Vidu!Print_Titles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Sinh Vien</cp:lastModifiedBy>
  <cp:lastPrinted>2016-10-18T03:00:11Z</cp:lastPrinted>
  <dcterms:created xsi:type="dcterms:W3CDTF">2016-06-07T02:37:42Z</dcterms:created>
  <dcterms:modified xsi:type="dcterms:W3CDTF">2025-11-24T01:15:25Z</dcterms:modified>
</cp:coreProperties>
</file>