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227"/>
  <workbookPr/>
  <mc:AlternateContent xmlns:mc="http://schemas.openxmlformats.org/markup-compatibility/2006">
    <mc:Choice Requires="x15">
      <x15ac:absPath xmlns:x15ac="http://schemas.microsoft.com/office/spreadsheetml/2010/11/ac" url="D:\HOTEC_TimeTable\Data\"/>
    </mc:Choice>
  </mc:AlternateContent>
  <xr:revisionPtr revIDLastSave="0" documentId="13_ncr:1_{402B89FD-5EF4-4916-A758-4AF63A76E6A0}" xr6:coauthVersionLast="47" xr6:coauthVersionMax="47" xr10:uidLastSave="{00000000-0000-0000-0000-000000000000}"/>
  <bookViews>
    <workbookView xWindow="-108" yWindow="-108" windowWidth="23256" windowHeight="12576" firstSheet="8" activeTab="9" xr2:uid="{00000000-000D-0000-FFFF-FFFF00000000}"/>
  </bookViews>
  <sheets>
    <sheet name="department" sheetId="1" r:id="rId1"/>
    <sheet name="training_levels" sheetId="2" r:id="rId2"/>
    <sheet name="academic_years" sheetId="3" r:id="rId3"/>
    <sheet name="semester_weeks" sheetId="15" r:id="rId4"/>
    <sheet name="semesters" sheetId="4" r:id="rId5"/>
    <sheet name="room_types" sheetId="5" r:id="rId6"/>
    <sheet name="specialization_groups" sheetId="6" r:id="rId7"/>
    <sheet name="majors" sheetId="8" r:id="rId8"/>
    <sheet name="Circiculum_Subject" sheetId="17" r:id="rId9"/>
    <sheet name="subjects" sheetId="12" r:id="rId10"/>
    <sheet name="room_capacity" sheetId="13" r:id="rId11"/>
    <sheet name="room" sheetId="7" r:id="rId12"/>
    <sheet name="instructors" sheetId="9" r:id="rId13"/>
    <sheet name="instructor_role" sheetId="10" r:id="rId14"/>
    <sheet name="instructor_competency" sheetId="11" r:id="rId15"/>
    <sheet name="student_class" sheetId="14" r:id="rId16"/>
    <sheet name="Circiculum" sheetId="16" r:id="rId17"/>
    <sheet name="semester_week" sheetId="18" r:id="rId18"/>
    <sheet name="semester_break" sheetId="19" r:id="rId19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P12" i="12" l="1"/>
  <c r="P13" i="12"/>
  <c r="P14" i="12"/>
  <c r="P15" i="12"/>
  <c r="P16" i="12"/>
  <c r="P17" i="12"/>
  <c r="P18" i="12"/>
  <c r="P19" i="12"/>
  <c r="P20" i="12"/>
  <c r="P21" i="12"/>
  <c r="P22" i="12"/>
  <c r="P23" i="12"/>
  <c r="P24" i="12"/>
  <c r="P25" i="12"/>
  <c r="P26" i="12"/>
  <c r="P27" i="12"/>
  <c r="P28" i="12"/>
  <c r="P29" i="12"/>
  <c r="P30" i="12"/>
  <c r="P31" i="12"/>
  <c r="P32" i="12"/>
  <c r="P33" i="12"/>
  <c r="P34" i="12"/>
  <c r="P35" i="12"/>
  <c r="P36" i="12"/>
  <c r="P37" i="12"/>
  <c r="P38" i="12"/>
  <c r="P39" i="12"/>
  <c r="P40" i="12"/>
  <c r="P41" i="12"/>
  <c r="P42" i="12"/>
  <c r="P43" i="12"/>
  <c r="P44" i="12"/>
  <c r="P45" i="12"/>
  <c r="P46" i="12"/>
  <c r="P47" i="12"/>
  <c r="P48" i="12"/>
  <c r="P49" i="12"/>
  <c r="P50" i="12"/>
  <c r="P51" i="12"/>
  <c r="P52" i="12"/>
  <c r="P53" i="12"/>
  <c r="P54" i="12"/>
  <c r="P55" i="12"/>
  <c r="P56" i="12"/>
  <c r="P57" i="12"/>
  <c r="P58" i="12"/>
  <c r="P59" i="12"/>
  <c r="P60" i="12"/>
  <c r="P61" i="12"/>
  <c r="P62" i="12"/>
  <c r="P63" i="12"/>
  <c r="P64" i="12"/>
  <c r="P65" i="12"/>
  <c r="P66" i="12"/>
  <c r="P67" i="12"/>
  <c r="P68" i="12"/>
  <c r="P69" i="12"/>
  <c r="P70" i="12"/>
  <c r="P71" i="12"/>
  <c r="P72" i="12"/>
  <c r="P73" i="12"/>
  <c r="P74" i="12"/>
  <c r="P75" i="12"/>
  <c r="P76" i="12"/>
  <c r="P77" i="12"/>
  <c r="P78" i="12"/>
  <c r="P79" i="12"/>
  <c r="P80" i="12"/>
  <c r="P81" i="12"/>
  <c r="P82" i="12"/>
  <c r="P83" i="12"/>
  <c r="P84" i="12"/>
  <c r="P85" i="12"/>
  <c r="P86" i="12"/>
  <c r="P87" i="12"/>
  <c r="P88" i="12"/>
  <c r="P89" i="12"/>
  <c r="P90" i="12"/>
  <c r="P91" i="12"/>
  <c r="P92" i="12"/>
  <c r="P93" i="12"/>
  <c r="P94" i="12"/>
  <c r="P95" i="12"/>
  <c r="P96" i="12"/>
  <c r="P97" i="12"/>
  <c r="P98" i="12"/>
  <c r="P99" i="12"/>
  <c r="P100" i="12"/>
  <c r="P101" i="12"/>
  <c r="P102" i="12"/>
  <c r="P103" i="12"/>
  <c r="P104" i="12"/>
  <c r="P105" i="12"/>
  <c r="P106" i="12"/>
  <c r="P107" i="12"/>
  <c r="P108" i="12"/>
  <c r="P109" i="12"/>
  <c r="P110" i="12"/>
  <c r="P111" i="12"/>
  <c r="P112" i="12"/>
  <c r="P113" i="12"/>
  <c r="P114" i="12"/>
  <c r="P115" i="12"/>
  <c r="P116" i="12"/>
  <c r="P117" i="12"/>
  <c r="P118" i="12"/>
  <c r="P119" i="12"/>
  <c r="P120" i="12"/>
  <c r="P121" i="12"/>
  <c r="P122" i="12"/>
  <c r="P123" i="12"/>
  <c r="P124" i="12"/>
  <c r="P125" i="12"/>
  <c r="P126" i="12"/>
  <c r="P3" i="12"/>
  <c r="P4" i="12"/>
  <c r="P5" i="12"/>
  <c r="P6" i="12"/>
  <c r="P7" i="12"/>
  <c r="P8" i="12"/>
  <c r="P9" i="12"/>
  <c r="P10" i="12"/>
  <c r="P11" i="12"/>
  <c r="P2" i="12"/>
  <c r="T125" i="12"/>
  <c r="T126" i="12"/>
  <c r="T3" i="12"/>
  <c r="T4" i="12"/>
  <c r="T5" i="12"/>
  <c r="T6" i="12"/>
  <c r="T7" i="12"/>
  <c r="T8" i="12"/>
  <c r="T9" i="12"/>
  <c r="T10" i="12"/>
  <c r="T11" i="12"/>
  <c r="T12" i="12"/>
  <c r="T13" i="12"/>
  <c r="T14" i="12"/>
  <c r="T15" i="12"/>
  <c r="T16" i="12"/>
  <c r="T17" i="12"/>
  <c r="T18" i="12"/>
  <c r="T19" i="12"/>
  <c r="T20" i="12"/>
  <c r="T21" i="12"/>
  <c r="T22" i="12"/>
  <c r="T23" i="12"/>
  <c r="T24" i="12"/>
  <c r="T25" i="12"/>
  <c r="T26" i="12"/>
  <c r="T27" i="12"/>
  <c r="T28" i="12"/>
  <c r="T29" i="12"/>
  <c r="T30" i="12"/>
  <c r="T31" i="12"/>
  <c r="T32" i="12"/>
  <c r="T33" i="12"/>
  <c r="T34" i="12"/>
  <c r="T35" i="12"/>
  <c r="T36" i="12"/>
  <c r="T37" i="12"/>
  <c r="T38" i="12"/>
  <c r="T39" i="12"/>
  <c r="T40" i="12"/>
  <c r="T41" i="12"/>
  <c r="T42" i="12"/>
  <c r="T43" i="12"/>
  <c r="T44" i="12"/>
  <c r="T45" i="12"/>
  <c r="T46" i="12"/>
  <c r="T47" i="12"/>
  <c r="T48" i="12"/>
  <c r="T49" i="12"/>
  <c r="T50" i="12"/>
  <c r="T51" i="12"/>
  <c r="T52" i="12"/>
  <c r="T53" i="12"/>
  <c r="T54" i="12"/>
  <c r="T55" i="12"/>
  <c r="T56" i="12"/>
  <c r="T57" i="12"/>
  <c r="T58" i="12"/>
  <c r="T59" i="12"/>
  <c r="T60" i="12"/>
  <c r="T61" i="12"/>
  <c r="T62" i="12"/>
  <c r="T63" i="12"/>
  <c r="T64" i="12"/>
  <c r="T65" i="12"/>
  <c r="T66" i="12"/>
  <c r="T67" i="12"/>
  <c r="T68" i="12"/>
  <c r="T69" i="12"/>
  <c r="T70" i="12"/>
  <c r="T71" i="12"/>
  <c r="T72" i="12"/>
  <c r="T73" i="12"/>
  <c r="T74" i="12"/>
  <c r="T75" i="12"/>
  <c r="T76" i="12"/>
  <c r="T77" i="12"/>
  <c r="T78" i="12"/>
  <c r="T79" i="12"/>
  <c r="T80" i="12"/>
  <c r="T81" i="12"/>
  <c r="T82" i="12"/>
  <c r="T83" i="12"/>
  <c r="T84" i="12"/>
  <c r="T85" i="12"/>
  <c r="T86" i="12"/>
  <c r="T87" i="12"/>
  <c r="T88" i="12"/>
  <c r="T89" i="12"/>
  <c r="T90" i="12"/>
  <c r="T91" i="12"/>
  <c r="T92" i="12"/>
  <c r="T93" i="12"/>
  <c r="T94" i="12"/>
  <c r="T95" i="12"/>
  <c r="T96" i="12"/>
  <c r="T97" i="12"/>
  <c r="T98" i="12"/>
  <c r="T99" i="12"/>
  <c r="T100" i="12"/>
  <c r="T101" i="12"/>
  <c r="T102" i="12"/>
  <c r="T103" i="12"/>
  <c r="T104" i="12"/>
  <c r="T105" i="12"/>
  <c r="T106" i="12"/>
  <c r="T107" i="12"/>
  <c r="T108" i="12"/>
  <c r="T109" i="12"/>
  <c r="T110" i="12"/>
  <c r="T111" i="12"/>
  <c r="T112" i="12"/>
  <c r="T113" i="12"/>
  <c r="T114" i="12"/>
  <c r="T115" i="12"/>
  <c r="T116" i="12"/>
  <c r="T117" i="12"/>
  <c r="T118" i="12"/>
  <c r="T119" i="12"/>
  <c r="T120" i="12"/>
  <c r="T121" i="12"/>
  <c r="T122" i="12"/>
  <c r="T123" i="12"/>
  <c r="T124" i="12"/>
  <c r="T2" i="12"/>
</calcChain>
</file>

<file path=xl/sharedStrings.xml><?xml version="1.0" encoding="utf-8"?>
<sst xmlns="http://schemas.openxmlformats.org/spreadsheetml/2006/main" count="1888" uniqueCount="483">
  <si>
    <t>code</t>
  </si>
  <si>
    <t>name</t>
  </si>
  <si>
    <t>CNTT</t>
  </si>
  <si>
    <t>Công nghệ thông tin</t>
  </si>
  <si>
    <t>DIEN</t>
  </si>
  <si>
    <t>Điện - Điện tử</t>
  </si>
  <si>
    <t>CKHI</t>
  </si>
  <si>
    <t>Cơ khí - Ô tô</t>
  </si>
  <si>
    <t>NNCB</t>
  </si>
  <si>
    <t>Ngoại ngữ - Cơ bản</t>
  </si>
  <si>
    <t>KTTC</t>
  </si>
  <si>
    <t>Kinh tế</t>
  </si>
  <si>
    <t>form</t>
  </si>
  <si>
    <t>CD</t>
  </si>
  <si>
    <t>Cao đẳng</t>
  </si>
  <si>
    <t>Tập trung</t>
  </si>
  <si>
    <t>TC</t>
  </si>
  <si>
    <t>Trung cấp</t>
  </si>
  <si>
    <t>CDLT</t>
  </si>
  <si>
    <t>Cao đẳng liên thông</t>
  </si>
  <si>
    <t>note</t>
  </si>
  <si>
    <t>2024-2025</t>
  </si>
  <si>
    <t>academic_year</t>
  </si>
  <si>
    <t>start_date</t>
  </si>
  <si>
    <t>weeks</t>
  </si>
  <si>
    <t>Học kỳ 1. Năm học 2025 - 2026</t>
  </si>
  <si>
    <t>HK1</t>
  </si>
  <si>
    <t>LT</t>
  </si>
  <si>
    <t>Lý thuyết</t>
  </si>
  <si>
    <t>TH</t>
  </si>
  <si>
    <t>Thực hành</t>
  </si>
  <si>
    <t>OL</t>
  </si>
  <si>
    <t>Online</t>
  </si>
  <si>
    <t>TD</t>
  </si>
  <si>
    <t>Sân thể dục</t>
  </si>
  <si>
    <t>Tin học</t>
  </si>
  <si>
    <t>DH</t>
  </si>
  <si>
    <t>WEB</t>
  </si>
  <si>
    <t>Thiết kế web</t>
  </si>
  <si>
    <t>Đồ hoạ</t>
  </si>
  <si>
    <t>NET</t>
  </si>
  <si>
    <t>Mạng máy tính</t>
  </si>
  <si>
    <t>DEV</t>
  </si>
  <si>
    <t>Phần mềm</t>
  </si>
  <si>
    <t>room_type</t>
  </si>
  <si>
    <t>capacity</t>
  </si>
  <si>
    <t>allowed_majors</t>
  </si>
  <si>
    <t>A22</t>
  </si>
  <si>
    <t>Phòng A.2.2</t>
  </si>
  <si>
    <t>level</t>
  </si>
  <si>
    <t>deparment</t>
  </si>
  <si>
    <t>is_general</t>
  </si>
  <si>
    <t>total_credits</t>
  </si>
  <si>
    <t>total_semesters</t>
  </si>
  <si>
    <t>THUD</t>
  </si>
  <si>
    <t>QTMMT</t>
  </si>
  <si>
    <t>TKQLW</t>
  </si>
  <si>
    <t>UDPM</t>
  </si>
  <si>
    <t>CDTKW</t>
  </si>
  <si>
    <t>Trung cấp Tin học ứng dụng</t>
  </si>
  <si>
    <t>Trung cấp Quản trị mạng máy tính</t>
  </si>
  <si>
    <t>Trung cấp Thiết kế và quản lý website</t>
  </si>
  <si>
    <t>Cao đẳng Công nghệ thông tin</t>
  </si>
  <si>
    <t>Cao đẳng Công nghệ thông tin (UDPM)</t>
  </si>
  <si>
    <t>Cao đẳng Thiết kế trang web</t>
  </si>
  <si>
    <t>TC_CHUNG</t>
  </si>
  <si>
    <t>CD_CHUNG</t>
  </si>
  <si>
    <t>Các môn chung Cao đẳng</t>
  </si>
  <si>
    <t>Các môn chung Trung cấp</t>
  </si>
  <si>
    <t>department</t>
  </si>
  <si>
    <t>is_leader</t>
  </si>
  <si>
    <t>teaching_quota</t>
  </si>
  <si>
    <t>admin_quota</t>
  </si>
  <si>
    <t>conversion_ratio</t>
  </si>
  <si>
    <t>max_subjects_per_semester</t>
  </si>
  <si>
    <t>workload_reduction</t>
  </si>
  <si>
    <t>THH</t>
  </si>
  <si>
    <t>Tô Hồ Hải</t>
  </si>
  <si>
    <t xml:space="preserve">    </t>
  </si>
  <si>
    <t>NDT</t>
  </si>
  <si>
    <t>Nguyễn Được Thụy</t>
  </si>
  <si>
    <t>HHC</t>
  </si>
  <si>
    <t>Hồ Hán Cường</t>
  </si>
  <si>
    <t>DDNH</t>
  </si>
  <si>
    <t>Đỗ Đặng Nguyệt Hằng</t>
  </si>
  <si>
    <t>LQL</t>
  </si>
  <si>
    <t>Lê Quỳnh Lâm</t>
  </si>
  <si>
    <t>VTL</t>
  </si>
  <si>
    <t>Võ Thị Lắm</t>
  </si>
  <si>
    <t>NMT</t>
  </si>
  <si>
    <t>Nguyễn Minh Thiện</t>
  </si>
  <si>
    <t>VDTHT</t>
  </si>
  <si>
    <t>Võ Đào Thị Hồng Tuyết</t>
  </si>
  <si>
    <t>TQC</t>
  </si>
  <si>
    <t>Trần Quốc Cường</t>
  </si>
  <si>
    <t>NTP</t>
  </si>
  <si>
    <t>Nguyễn Thanh Phong</t>
  </si>
  <si>
    <t>CHV</t>
  </si>
  <si>
    <t>Công Hiện Ví</t>
  </si>
  <si>
    <t>TV</t>
  </si>
  <si>
    <t>Tô Vũ</t>
  </si>
  <si>
    <t>NGK</t>
  </si>
  <si>
    <t>Nguyễn Gia Khoa</t>
  </si>
  <si>
    <t>DDD</t>
  </si>
  <si>
    <t>Dương Đình Dũng</t>
  </si>
  <si>
    <t>DCC</t>
  </si>
  <si>
    <t>Đặng Chí Công</t>
  </si>
  <si>
    <t>TS</t>
  </si>
  <si>
    <t>Trần Sinh</t>
  </si>
  <si>
    <t>NTKN</t>
  </si>
  <si>
    <t>Nguyễn Thị Kim Nga</t>
  </si>
  <si>
    <t>VTPD</t>
  </si>
  <si>
    <t>Vũ Thị Phương Dung</t>
  </si>
  <si>
    <t>DXY</t>
  </si>
  <si>
    <t>Diệp Xuân Yến</t>
  </si>
  <si>
    <t>VCKH</t>
  </si>
  <si>
    <t>Văn Công Khánh Hiệp</t>
  </si>
  <si>
    <t>Nguyễn Ngọc Kim Phương</t>
  </si>
  <si>
    <t>NNKP</t>
  </si>
  <si>
    <t>TK</t>
  </si>
  <si>
    <t>PK</t>
  </si>
  <si>
    <t>GVCN</t>
  </si>
  <si>
    <t>BTDT</t>
  </si>
  <si>
    <t>TX</t>
  </si>
  <si>
    <t>TT</t>
  </si>
  <si>
    <t>instructor</t>
  </si>
  <si>
    <t>subject</t>
  </si>
  <si>
    <t>priority</t>
  </si>
  <si>
    <t>major</t>
  </si>
  <si>
    <t>managing_department</t>
  </si>
  <si>
    <t>subject_type</t>
  </si>
  <si>
    <t>total_periods</t>
  </si>
  <si>
    <t>max_class_size</t>
  </si>
  <si>
    <t>required_room_type</t>
  </si>
  <si>
    <t>specialization_group</t>
  </si>
  <si>
    <t>is_external_managed</t>
  </si>
  <si>
    <t>MH2101201</t>
  </si>
  <si>
    <t>MH2012448</t>
  </si>
  <si>
    <t>MH2012406</t>
  </si>
  <si>
    <t>MH2012441</t>
  </si>
  <si>
    <t>MH2012447</t>
  </si>
  <si>
    <t>MH2012446</t>
  </si>
  <si>
    <t>MĐ2012443</t>
  </si>
  <si>
    <t>MH2012407</t>
  </si>
  <si>
    <t>MH2012440</t>
  </si>
  <si>
    <t>MH2012445</t>
  </si>
  <si>
    <t>MĐ2012449</t>
  </si>
  <si>
    <t>MĐ2012450</t>
  </si>
  <si>
    <t>MĐ2012454</t>
  </si>
  <si>
    <t>MĐ2012453</t>
  </si>
  <si>
    <t>duration_semesters</t>
  </si>
  <si>
    <t>2025-2026</t>
  </si>
  <si>
    <t>2026-2027</t>
  </si>
  <si>
    <t>2023-2024</t>
  </si>
  <si>
    <t>HK2</t>
  </si>
  <si>
    <t>Học kỳ 2. Năm học 2025 - 2026</t>
  </si>
  <si>
    <t>Học kỳ 1. Năm học 2026 - 2027</t>
  </si>
  <si>
    <t>Học kỳ 2. Năm học 2026 - 2024</t>
  </si>
  <si>
    <t>A23</t>
  </si>
  <si>
    <t>A24</t>
  </si>
  <si>
    <t>Phòng A.2.3</t>
  </si>
  <si>
    <t>Phòng A.2.4</t>
  </si>
  <si>
    <t>A25</t>
  </si>
  <si>
    <t>A26</t>
  </si>
  <si>
    <t>A28</t>
  </si>
  <si>
    <t>A33</t>
  </si>
  <si>
    <t>A35</t>
  </si>
  <si>
    <t>A36</t>
  </si>
  <si>
    <t>A37</t>
  </si>
  <si>
    <t>A38</t>
  </si>
  <si>
    <t>A11</t>
  </si>
  <si>
    <t>A12</t>
  </si>
  <si>
    <t>A13</t>
  </si>
  <si>
    <t>A14</t>
  </si>
  <si>
    <t>Phòng A.2.5</t>
  </si>
  <si>
    <t>Phòng A.2.6</t>
  </si>
  <si>
    <t>Phòng A.2.8</t>
  </si>
  <si>
    <t>Phòng A.3.3</t>
  </si>
  <si>
    <t>Phòng A.1.1</t>
  </si>
  <si>
    <t>Phòng A.3.5</t>
  </si>
  <si>
    <t>Phòng A.3.6</t>
  </si>
  <si>
    <t>Phòng A.3.7</t>
  </si>
  <si>
    <t>Phòng A.3.8</t>
  </si>
  <si>
    <t>Phòng A.1.2</t>
  </si>
  <si>
    <t>Phòng A.1.3</t>
  </si>
  <si>
    <t>Phòng A.1.4</t>
  </si>
  <si>
    <t>room</t>
  </si>
  <si>
    <t>group</t>
  </si>
  <si>
    <t>capabilities</t>
  </si>
  <si>
    <t>DEV, GRA</t>
  </si>
  <si>
    <t>GRA</t>
  </si>
  <si>
    <t>NET, DEV</t>
  </si>
  <si>
    <t>TH, DEV</t>
  </si>
  <si>
    <t>GRA, WEB, TH</t>
  </si>
  <si>
    <t>size</t>
  </si>
  <si>
    <t>homeroom_teacher</t>
  </si>
  <si>
    <t>27TMT1</t>
  </si>
  <si>
    <t>27SPIT1</t>
  </si>
  <si>
    <t>27SPIT3</t>
  </si>
  <si>
    <t>26TMT1</t>
  </si>
  <si>
    <t>26SPIT1</t>
  </si>
  <si>
    <t>26SPIT3</t>
  </si>
  <si>
    <t>26TTH1</t>
  </si>
  <si>
    <t>26TTH5</t>
  </si>
  <si>
    <t>26TTH3</t>
  </si>
  <si>
    <t>27TTH3</t>
  </si>
  <si>
    <t>27TTH1</t>
  </si>
  <si>
    <t>26TTH1_CS2</t>
  </si>
  <si>
    <t>25CDTKW01</t>
  </si>
  <si>
    <t>24CDTKW01</t>
  </si>
  <si>
    <t>23CDTKW01</t>
  </si>
  <si>
    <t>23CDTH01</t>
  </si>
  <si>
    <t>23CDTHPM01</t>
  </si>
  <si>
    <t>24CDTH01</t>
  </si>
  <si>
    <t>24CDTH02</t>
  </si>
  <si>
    <t>24CDTH_LT01</t>
  </si>
  <si>
    <t>24CDTHPM01</t>
  </si>
  <si>
    <t>24CDTHPM_LT01</t>
  </si>
  <si>
    <t>25CDTH01</t>
  </si>
  <si>
    <t>25CDTHPM01</t>
  </si>
  <si>
    <t>25CDTHPM_LT01</t>
  </si>
  <si>
    <t>22_CD</t>
  </si>
  <si>
    <t>25_TC</t>
  </si>
  <si>
    <t>TC_KHOACU</t>
  </si>
  <si>
    <t>CD_KHOACU</t>
  </si>
  <si>
    <t>Trung cấp khóa cũ</t>
  </si>
  <si>
    <t>Cao đẳng khóa cũ</t>
  </si>
  <si>
    <t>MH2012404</t>
  </si>
  <si>
    <t>MH2012420</t>
  </si>
  <si>
    <t>MH2012405</t>
  </si>
  <si>
    <t>MH2012408</t>
  </si>
  <si>
    <t>MH2012409</t>
  </si>
  <si>
    <t>MH2012410</t>
  </si>
  <si>
    <t>MH2012413</t>
  </si>
  <si>
    <t>MH2012414</t>
  </si>
  <si>
    <t>MĐ2012412</t>
  </si>
  <si>
    <t>MH2012417</t>
  </si>
  <si>
    <t>MĐ2012415</t>
  </si>
  <si>
    <t>MĐ2012424</t>
  </si>
  <si>
    <t>MĐ2012428</t>
  </si>
  <si>
    <t>MH2012400</t>
  </si>
  <si>
    <t>MH2012421</t>
  </si>
  <si>
    <t>MH2012419</t>
  </si>
  <si>
    <t>MĐ2012431</t>
  </si>
  <si>
    <t>MH2012426</t>
  </si>
  <si>
    <t>MH2012429</t>
  </si>
  <si>
    <t>MH2012418</t>
  </si>
  <si>
    <t>MĐ2012435</t>
  </si>
  <si>
    <t>MĐ2012436</t>
  </si>
  <si>
    <t>MH2012438</t>
  </si>
  <si>
    <t>MĐ2012430</t>
  </si>
  <si>
    <t>MĐ2012433</t>
  </si>
  <si>
    <t>MĐ2012432</t>
  </si>
  <si>
    <t>MH3012400</t>
  </si>
  <si>
    <t>MH3101201</t>
  </si>
  <si>
    <t>MH3012402</t>
  </si>
  <si>
    <t>MH3012403</t>
  </si>
  <si>
    <t>MH3012406</t>
  </si>
  <si>
    <t>MH3012409</t>
  </si>
  <si>
    <t>MH3012404</t>
  </si>
  <si>
    <t>MH3012416</t>
  </si>
  <si>
    <t>MH3012414</t>
  </si>
  <si>
    <t>MH3012410</t>
  </si>
  <si>
    <t>MH3012415</t>
  </si>
  <si>
    <t>MH3012411</t>
  </si>
  <si>
    <t>MH3012413</t>
  </si>
  <si>
    <t>MH3012412</t>
  </si>
  <si>
    <t>MH3012447</t>
  </si>
  <si>
    <t>MH3012407</t>
  </si>
  <si>
    <t>MH3012408</t>
  </si>
  <si>
    <t>MĐ3012418</t>
  </si>
  <si>
    <t>MH3012419</t>
  </si>
  <si>
    <t>MH3012420</t>
  </si>
  <si>
    <t>MĐ3012421</t>
  </si>
  <si>
    <t>MH3012441</t>
  </si>
  <si>
    <t>MH3012440</t>
  </si>
  <si>
    <t>MH3012442</t>
  </si>
  <si>
    <t>MH3012443</t>
  </si>
  <si>
    <t>MH3012460</t>
  </si>
  <si>
    <t>MH3012461</t>
  </si>
  <si>
    <t>MH3012448</t>
  </si>
  <si>
    <t>MH3012451</t>
  </si>
  <si>
    <t>MH3012445</t>
  </si>
  <si>
    <t>MH3012450</t>
  </si>
  <si>
    <t>MH3012449</t>
  </si>
  <si>
    <t>MH3012452</t>
  </si>
  <si>
    <t>MH3012444</t>
  </si>
  <si>
    <t>MĐ3012453</t>
  </si>
  <si>
    <t>MĐ3012454</t>
  </si>
  <si>
    <t>MĐ3012458</t>
  </si>
  <si>
    <t>MĐ3012459</t>
  </si>
  <si>
    <t>MĐ3012456</t>
  </si>
  <si>
    <t>MĐ3012455</t>
  </si>
  <si>
    <t>MĐ3012457</t>
  </si>
  <si>
    <t>MH3012428</t>
  </si>
  <si>
    <t>MH3012425</t>
  </si>
  <si>
    <t>MĐ3012429</t>
  </si>
  <si>
    <t>MH3012430</t>
  </si>
  <si>
    <t>MH3012424</t>
  </si>
  <si>
    <t>MĐ3012431</t>
  </si>
  <si>
    <t>MH3012438</t>
  </si>
  <si>
    <t>MH3012432</t>
  </si>
  <si>
    <t>MĐ3012441</t>
  </si>
  <si>
    <t>MH3012433</t>
  </si>
  <si>
    <t>MH3012427</t>
  </si>
  <si>
    <t>MH3012426</t>
  </si>
  <si>
    <t>MH3012439</t>
  </si>
  <si>
    <t>MH3012436</t>
  </si>
  <si>
    <t>MH3012437</t>
  </si>
  <si>
    <t>MĐ3012443</t>
  </si>
  <si>
    <t>MH3012435</t>
  </si>
  <si>
    <t>MĐ3012442</t>
  </si>
  <si>
    <t>MH3012446</t>
  </si>
  <si>
    <t>MĐ3012444</t>
  </si>
  <si>
    <t>MH3012434</t>
  </si>
  <si>
    <t>MĐ3012445</t>
  </si>
  <si>
    <t>MĐ3012448</t>
  </si>
  <si>
    <t>MĐ3012449</t>
  </si>
  <si>
    <t>Hệ quản trị cơ sở dữ liệu</t>
  </si>
  <si>
    <t>Kỹ thuật lập trình cơ bản</t>
  </si>
  <si>
    <t>Lập trình sự kiện trang web</t>
  </si>
  <si>
    <t>Kỹ thuật lập trình nâng cao</t>
  </si>
  <si>
    <t>Thực tập tốt nghiệp</t>
  </si>
  <si>
    <t>Khóa luận tốt nghiệp</t>
  </si>
  <si>
    <t>Kỹ thuật dựng phim</t>
  </si>
  <si>
    <t>Thiết kế đồ họa 2D</t>
  </si>
  <si>
    <t>Lập trình cơ bản</t>
  </si>
  <si>
    <t>Bảo trì xử lí sự cố máy tính</t>
  </si>
  <si>
    <t>Mạng không dây</t>
  </si>
  <si>
    <t>An toàn thông tin</t>
  </si>
  <si>
    <t>Xây dựng hệ thống mạng nguồn mở</t>
  </si>
  <si>
    <t>Thiết kế và xây dựng hệ thống camera an ninh</t>
  </si>
  <si>
    <t>Thiết kế giao diện web</t>
  </si>
  <si>
    <t>Thiết kế ý tưởng</t>
  </si>
  <si>
    <t>Thực tập thiết kế web Responsive</t>
  </si>
  <si>
    <t>Mạng máy tính cơ bản</t>
  </si>
  <si>
    <t>Kỹ thuật chụp ảnh</t>
  </si>
  <si>
    <t>Lập trình giao diện web</t>
  </si>
  <si>
    <t>Xây dựng ứng dụng web</t>
  </si>
  <si>
    <t>Thực tập lập trình giao diện web</t>
  </si>
  <si>
    <t>Thực tập xây dựng trang web với ReactJS</t>
  </si>
  <si>
    <t>Thực tập xây dựng ứng dụng web</t>
  </si>
  <si>
    <t>Hệ điều hành</t>
  </si>
  <si>
    <t>Công nghệ ảo hóa</t>
  </si>
  <si>
    <t>LT Windows CB</t>
  </si>
  <si>
    <t>QTM Windows Server nâng cao</t>
  </si>
  <si>
    <t xml:space="preserve">Thiết bị Giám sát và an ninh </t>
  </si>
  <si>
    <t>Định tuyến và chuyển mạch trên thiết bị Cisco</t>
  </si>
  <si>
    <t xml:space="preserve">CSDL và ứng dụng </t>
  </si>
  <si>
    <t>Bảo mật hệ thống mạng</t>
  </si>
  <si>
    <t>Hệ quản trị nội dung web</t>
  </si>
  <si>
    <t>Thiết kế mạng</t>
  </si>
  <si>
    <t>Giám sát mạng</t>
  </si>
  <si>
    <t>XD Hệ thống mạng nguồn mở</t>
  </si>
  <si>
    <t>Khai thác dịch vụ Internet vào kinh doanh trực tuyến</t>
  </si>
  <si>
    <t>Cấu trúc dữ liệu</t>
  </si>
  <si>
    <t>Cơ sở dữ liệu</t>
  </si>
  <si>
    <t>Lắp ráp và cài đặt máy tính</t>
  </si>
  <si>
    <t>Xuất bản Web</t>
  </si>
  <si>
    <t>Lập trình hướng đối tượng</t>
  </si>
  <si>
    <t>Lập trình Windows cơ bản</t>
  </si>
  <si>
    <t>Lập trình trên thiết bị di động cơ bản</t>
  </si>
  <si>
    <t>Xây dựng ứng dụng với ASP.NET</t>
  </si>
  <si>
    <t>Phân tích và thiết kế hệ thống thông tin</t>
  </si>
  <si>
    <t>Lập trình Windows nâng cao</t>
  </si>
  <si>
    <t>Lập trình trên thiết bị di động nâng cao</t>
  </si>
  <si>
    <t>Lập trình PHP và MySQL cơ bản</t>
  </si>
  <si>
    <t>Xây dựng phần mềm quản lý</t>
  </si>
  <si>
    <t>Phát triển ứng dụng trên thiết bị di động</t>
  </si>
  <si>
    <t>Lập trình mạng</t>
  </si>
  <si>
    <t>Lập trình PHP và MySQL nâng cao</t>
  </si>
  <si>
    <t>Thương mại điện tử</t>
  </si>
  <si>
    <t xml:space="preserve">Thiết kế đồ họa </t>
  </si>
  <si>
    <t>Thành phần và NLTK</t>
  </si>
  <si>
    <t>Xử lý ảnh</t>
  </si>
  <si>
    <t>Phân tích và thiết kế cơ sở dữ liệu</t>
  </si>
  <si>
    <t>Thiết kế web với Figma</t>
  </si>
  <si>
    <t>Thiết kế đồ họa web</t>
  </si>
  <si>
    <t>Lập trình python CB</t>
  </si>
  <si>
    <t>LT giao diện web</t>
  </si>
  <si>
    <t>Lập trình PHP</t>
  </si>
  <si>
    <t>Lập trình python NC</t>
  </si>
  <si>
    <t>QT Web Hosting</t>
  </si>
  <si>
    <t>Kiểm thử ứng dụng web</t>
  </si>
  <si>
    <t>Lập trình web</t>
  </si>
  <si>
    <t>Thực tập xây dựng website bán hàng</t>
  </si>
  <si>
    <t>SEO Website</t>
  </si>
  <si>
    <t>Bảo mật Ứng dụng web</t>
  </si>
  <si>
    <t>Django Python Framework</t>
  </si>
  <si>
    <t>Xây dựng website thương mại</t>
  </si>
  <si>
    <t>Lắp ráp và cài dặt máy tính</t>
  </si>
  <si>
    <t>Thực tập DN</t>
  </si>
  <si>
    <t>exam_form</t>
  </si>
  <si>
    <t>has_separate_marking</t>
  </si>
  <si>
    <t>semester_number</t>
  </si>
  <si>
    <t>Trắc nghiệm trên máy</t>
  </si>
  <si>
    <t>Tiểu luận</t>
  </si>
  <si>
    <t>Thực hành trên máy</t>
  </si>
  <si>
    <t xml:space="preserve">Trắc nghiệm </t>
  </si>
  <si>
    <t>Trắc nghiệm</t>
  </si>
  <si>
    <t>Bài tập lớn</t>
  </si>
  <si>
    <t xml:space="preserve">Trắc nghiệm trên máy tính </t>
  </si>
  <si>
    <t>Viết</t>
  </si>
  <si>
    <t xml:space="preserve">Viết </t>
  </si>
  <si>
    <t>TN</t>
  </si>
  <si>
    <t>TL</t>
  </si>
  <si>
    <t>Thực hành trên máy tính</t>
  </si>
  <si>
    <t>Trắc nghiệm trên máy tính</t>
  </si>
  <si>
    <t>major(nối qua Major)</t>
  </si>
  <si>
    <t>intake_year(AccademicYear)</t>
  </si>
  <si>
    <t>THUD 2025</t>
  </si>
  <si>
    <t>QTMMT 2025</t>
  </si>
  <si>
    <t>TKQLW 2025</t>
  </si>
  <si>
    <t>CNTT 2025</t>
  </si>
  <si>
    <t>UDPM 2025</t>
  </si>
  <si>
    <t>CDTKW 2025</t>
  </si>
  <si>
    <t>TC_CHUNG 2025</t>
  </si>
  <si>
    <t>CD_CHUNG 2025</t>
  </si>
  <si>
    <t>TC_KHOACU 2025</t>
  </si>
  <si>
    <t>CD_KHOACU 2025</t>
  </si>
  <si>
    <t>THUD 2026</t>
  </si>
  <si>
    <t>QTMMT 2026</t>
  </si>
  <si>
    <t>TKQLW 2026</t>
  </si>
  <si>
    <t>CNTT 2026</t>
  </si>
  <si>
    <t>UDPM 2026</t>
  </si>
  <si>
    <t>CDTKW 2026</t>
  </si>
  <si>
    <t>TC_CHUNG 2026</t>
  </si>
  <si>
    <t>CD_CHUNG 2026</t>
  </si>
  <si>
    <t>TC_KHOACU 2026</t>
  </si>
  <si>
    <t>CD_KHOACU 2026</t>
  </si>
  <si>
    <t>THUD 2024</t>
  </si>
  <si>
    <t>QTMMT 2024</t>
  </si>
  <si>
    <t>TKQLW 2024</t>
  </si>
  <si>
    <t>CNTT 2024</t>
  </si>
  <si>
    <t>UDPM 2024</t>
  </si>
  <si>
    <t>CDTKW 2024</t>
  </si>
  <si>
    <t>TC_CHUNG 2024</t>
  </si>
  <si>
    <t>CD_CHUNG 2024</t>
  </si>
  <si>
    <t>TC_KHOACU 2024</t>
  </si>
  <si>
    <t>CD_KHOACU 2024</t>
  </si>
  <si>
    <t>curriculum(Curriculum)</t>
  </si>
  <si>
    <t>subject(Subject)</t>
  </si>
  <si>
    <t>semester_index</t>
  </si>
  <si>
    <t>is_optional(Môn tự chọn)</t>
  </si>
  <si>
    <t>total_period</t>
  </si>
  <si>
    <t>27.T.TH1</t>
  </si>
  <si>
    <t>27.T.TH3</t>
  </si>
  <si>
    <t>27.SP.IT1</t>
  </si>
  <si>
    <t>27.SP.IT3</t>
  </si>
  <si>
    <t>27.T.MT1</t>
  </si>
  <si>
    <t>26.T.TH1</t>
  </si>
  <si>
    <t>26.T.TH3</t>
  </si>
  <si>
    <t>26.T.TH5</t>
  </si>
  <si>
    <t>26.T.MT1</t>
  </si>
  <si>
    <t>26.SP.IT1</t>
  </si>
  <si>
    <t>26.SP.IT3</t>
  </si>
  <si>
    <t>26.T.TH1_CS2</t>
  </si>
  <si>
    <t>MĐ2012451</t>
  </si>
  <si>
    <t>MĐ2012452</t>
  </si>
  <si>
    <t>MH2012411</t>
  </si>
  <si>
    <t>MH2012416</t>
  </si>
  <si>
    <t>MH2012437</t>
  </si>
  <si>
    <t>Lập trình Android cơ bản</t>
  </si>
  <si>
    <t>Quản trị Windows Server</t>
  </si>
  <si>
    <t>Lập trình Android nâng cao</t>
  </si>
  <si>
    <t>Hệ điều hành Windows</t>
  </si>
  <si>
    <t>Viết báo cáo và thuyết trình</t>
  </si>
  <si>
    <t xml:space="preserve">Quản trị hệ thống Linux </t>
  </si>
  <si>
    <t>Quản trị Windows Server nâng cao</t>
  </si>
  <si>
    <t>Quản trj mạng Cisco</t>
  </si>
  <si>
    <t xml:space="preserve">Màu sắc và nguyên lý thiết kế </t>
  </si>
  <si>
    <t>Hệ quản trị nội dung Web</t>
  </si>
  <si>
    <t>Quản trị mạng Windows Server</t>
  </si>
  <si>
    <t>Phát triển phần mềm mã nguồn mở</t>
  </si>
  <si>
    <t>Hệ quản trị Cơ sở dữ liệu</t>
  </si>
  <si>
    <t>Thực tập thiết kế giao diện web với ReactJS</t>
  </si>
  <si>
    <t/>
  </si>
  <si>
    <t>BTL</t>
  </si>
  <si>
    <t>Hình thực thi</t>
  </si>
  <si>
    <t>NET, DEV, GRA, WEB</t>
  </si>
  <si>
    <t>GRA, DEV</t>
  </si>
  <si>
    <t>MĐ2012427</t>
  </si>
  <si>
    <t>MH3012447_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</si>
</sst>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2"/>
      <color theme="1"/>
      <name val="Times New Roman"/>
      <family val="1"/>
    </font>
    <font>
      <sz val="8"/>
      <name val="Calibri"/>
      <family val="2"/>
      <scheme val="minor"/>
    </font>
    <font>
      <sz val="11"/>
      <color theme="1"/>
      <name val="Times New Roman"/>
      <family val="1"/>
    </font>
    <font>
      <sz val="11"/>
      <color indexed="8"/>
      <name val="Calibri"/>
      <family val="2"/>
      <charset val="163"/>
    </font>
    <font>
      <sz val="10"/>
      <color indexed="8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4" fillId="0" borderId="0"/>
  </cellStyleXfs>
  <cellXfs count="18">
    <xf numFmtId="0" fontId="0" fillId="0" borderId="0" xfId="0"/>
    <xf numFmtId="14" fontId="0" fillId="0" borderId="0" xfId="0" applyNumberFormat="1"/>
    <xf numFmtId="0" fontId="1" fillId="0" borderId="1" xfId="0" applyFont="1" applyBorder="1" applyAlignment="1">
      <alignment vertical="center"/>
    </xf>
    <xf numFmtId="0" fontId="1" fillId="0" borderId="2" xfId="0" applyFont="1" applyBorder="1" applyAlignment="1">
      <alignment vertical="center"/>
    </xf>
    <xf numFmtId="0" fontId="5" fillId="0" borderId="0" xfId="1" applyFont="1"/>
    <xf numFmtId="0" fontId="1" fillId="2" borderId="1" xfId="0" applyFont="1" applyFill="1" applyBorder="1" applyAlignment="1">
      <alignment vertical="center"/>
    </xf>
    <xf numFmtId="0" fontId="3" fillId="0" borderId="0" xfId="0" applyFont="1" applyFill="1" applyBorder="1"/>
    <xf numFmtId="0" fontId="1" fillId="0" borderId="0" xfId="0" applyFont="1" applyFill="1" applyBorder="1" applyAlignment="1">
      <alignment vertical="center"/>
    </xf>
    <xf numFmtId="0" fontId="1" fillId="0" borderId="0" xfId="0" applyFont="1" applyFill="1" applyBorder="1" applyAlignment="1">
      <alignment horizontal="center" vertical="center"/>
    </xf>
    <xf numFmtId="0" fontId="1" fillId="0" borderId="0" xfId="0" applyFont="1" applyFill="1" applyBorder="1" applyAlignment="1">
      <alignment vertical="center" wrapText="1"/>
    </xf>
    <xf numFmtId="0" fontId="3" fillId="0" borderId="1" xfId="0" applyFont="1" applyFill="1" applyBorder="1"/>
    <xf numFmtId="0" fontId="1" fillId="0" borderId="1" xfId="0" applyFont="1" applyFill="1" applyBorder="1" applyAlignment="1">
      <alignment vertical="center"/>
    </xf>
    <xf numFmtId="0" fontId="1" fillId="0" borderId="1" xfId="0" applyFont="1" applyFill="1" applyBorder="1" applyAlignment="1">
      <alignment horizontal="center" vertical="center"/>
    </xf>
    <xf numFmtId="0" fontId="0" fillId="2" borderId="0" xfId="0" applyFill="1"/>
    <xf numFmtId="0" fontId="5" fillId="2" borderId="0" xfId="1" applyFont="1" applyFill="1"/>
    <xf numFmtId="0" fontId="0" fillId="3" borderId="0" xfId="0" applyFill="1"/>
    <xf numFmtId="0" fontId="5" fillId="3" borderId="0" xfId="1" applyFont="1" applyFill="1"/>
    <xf numFmtId="0" fontId="1" fillId="4" borderId="1" xfId="0" applyFont="1" applyFill="1" applyBorder="1" applyAlignment="1">
      <alignment vertical="center"/>
    </xf>
  </cellXfs>
  <cellStyles count="2">
    <cellStyle name="Normal" xfId="0" builtinId="0"/>
    <cellStyle name="Normal 2" xfId="1" xr:uid="{256B62DC-A021-49DF-A234-24E6F38715B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"/>
  <sheetViews>
    <sheetView workbookViewId="0">
      <selection activeCell="A7" sqref="A7"/>
    </sheetView>
  </sheetViews>
  <sheetFormatPr defaultRowHeight="14.4" x14ac:dyDescent="0.3"/>
  <sheetData>
    <row r="1" spans="1:2" x14ac:dyDescent="0.3">
      <c r="A1" t="s">
        <v>0</v>
      </c>
      <c r="B1" t="s">
        <v>1</v>
      </c>
    </row>
    <row r="2" spans="1:2" x14ac:dyDescent="0.3">
      <c r="A2" t="s">
        <v>2</v>
      </c>
      <c r="B2" t="s">
        <v>3</v>
      </c>
    </row>
    <row r="3" spans="1:2" x14ac:dyDescent="0.3">
      <c r="A3" t="s">
        <v>4</v>
      </c>
      <c r="B3" t="s">
        <v>5</v>
      </c>
    </row>
    <row r="4" spans="1:2" x14ac:dyDescent="0.3">
      <c r="A4" t="s">
        <v>6</v>
      </c>
      <c r="B4" t="s">
        <v>7</v>
      </c>
    </row>
    <row r="5" spans="1:2" x14ac:dyDescent="0.3">
      <c r="A5" t="s">
        <v>8</v>
      </c>
      <c r="B5" t="s">
        <v>9</v>
      </c>
    </row>
    <row r="6" spans="1:2" x14ac:dyDescent="0.3">
      <c r="A6" t="s">
        <v>10</v>
      </c>
      <c r="B6" t="s">
        <v>11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6A7F5-E8CD-4662-8DCB-B1FC11BE3489}">
  <dimension ref="A1:D4"/>
  <sheetViews>
    <sheetView workbookViewId="0">
      <selection activeCell="D1" sqref="D1:D4"/>
    </sheetView>
  </sheetViews>
  <sheetFormatPr defaultRowHeight="14.4" x14ac:dyDescent="0.3"/>
  <sheetData>
    <row r="1" spans="1:4" x14ac:dyDescent="0.3">
      <c r="A1" t="s">
        <v>0</v>
      </c>
      <c r="B1" t="s">
        <v>1</v>
      </c>
      <c r="C1" t="s">
        <v>12</v>
      </c>
      <c r="D1" t="s">
        <v>150</v>
      </c>
    </row>
    <row r="2" spans="1:4" x14ac:dyDescent="0.3">
      <c r="A2" t="s">
        <v>13</v>
      </c>
      <c r="B2" t="s">
        <v>14</v>
      </c>
      <c r="C2" t="s">
        <v>15</v>
      </c>
      <c r="D2">
        <v>5</v>
      </c>
    </row>
    <row r="3" spans="1:4" x14ac:dyDescent="0.3">
      <c r="A3" t="s">
        <v>16</v>
      </c>
      <c r="B3" t="s">
        <v>17</v>
      </c>
      <c r="C3" t="s">
        <v>15</v>
      </c>
      <c r="D3">
        <v>4</v>
      </c>
    </row>
    <row r="4" spans="1:4" x14ac:dyDescent="0.3">
      <c r="A4" t="s">
        <v>18</v>
      </c>
      <c r="B4" t="s">
        <v>19</v>
      </c>
      <c r="C4" t="s">
        <v>15</v>
      </c>
      <c r="D4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EC956-5DFB-44C9-81A3-E0043A22FB3E}">
  <dimension ref="A1:B5"/>
  <sheetViews>
    <sheetView workbookViewId="0">
      <selection activeCell="A2" sqref="A2:B5"/>
    </sheetView>
  </sheetViews>
  <sheetFormatPr defaultRowHeight="14.4" x14ac:dyDescent="0.3"/>
  <sheetData>
    <row r="1" spans="1:2" x14ac:dyDescent="0.3">
      <c r="A1" t="s">
        <v>0</v>
      </c>
      <c r="B1" t="s">
        <v>20</v>
      </c>
    </row>
    <row r="2" spans="1:2" x14ac:dyDescent="0.3">
      <c r="A2">
        <v>2023</v>
      </c>
      <c r="B2" t="s">
        <v>153</v>
      </c>
    </row>
    <row r="3" spans="1:2" x14ac:dyDescent="0.3">
      <c r="A3">
        <v>2024</v>
      </c>
      <c r="B3" t="s">
        <v>21</v>
      </c>
    </row>
    <row r="4" spans="1:2" x14ac:dyDescent="0.3">
      <c r="A4">
        <v>2025</v>
      </c>
      <c r="B4" t="s">
        <v>151</v>
      </c>
    </row>
    <row r="5" spans="1:2" x14ac:dyDescent="0.3">
      <c r="A5">
        <v>2026</v>
      </c>
      <c r="B5" t="s">
        <v>152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70D98-744B-4D27-BABA-654CF5060DC7}">
  <dimension ref="A1:E5"/>
  <sheetViews>
    <sheetView workbookViewId="0">
      <selection activeCell="I25" sqref="I25"/>
    </sheetView>
  </sheetViews>
  <sheetFormatPr defaultRowHeight="14.4" x14ac:dyDescent="0.3"/>
  <cols>
    <col min="1" max="1" width="18.44140625" customWidth="1"/>
    <col min="2" max="2" width="5" bestFit="1" customWidth="1"/>
    <col min="3" max="3" width="26.6640625" bestFit="1" customWidth="1"/>
    <col min="4" max="4" width="9.44140625" bestFit="1" customWidth="1"/>
  </cols>
  <sheetData>
    <row r="1" spans="1:5" x14ac:dyDescent="0.3">
      <c r="A1" t="s">
        <v>22</v>
      </c>
      <c r="B1" t="s">
        <v>0</v>
      </c>
      <c r="C1" t="s">
        <v>1</v>
      </c>
      <c r="D1" t="s">
        <v>23</v>
      </c>
      <c r="E1" t="s">
        <v>24</v>
      </c>
    </row>
    <row r="2" spans="1:5" x14ac:dyDescent="0.3">
      <c r="A2">
        <v>2025</v>
      </c>
      <c r="B2" t="s">
        <v>26</v>
      </c>
      <c r="C2" t="s">
        <v>25</v>
      </c>
      <c r="D2" s="1">
        <v>45892</v>
      </c>
      <c r="E2">
        <v>20</v>
      </c>
    </row>
    <row r="3" spans="1:5" x14ac:dyDescent="0.3">
      <c r="A3">
        <v>2025</v>
      </c>
      <c r="B3" t="s">
        <v>154</v>
      </c>
      <c r="C3" t="s">
        <v>155</v>
      </c>
      <c r="D3" s="1">
        <v>46041</v>
      </c>
      <c r="E3">
        <v>20</v>
      </c>
    </row>
    <row r="4" spans="1:5" x14ac:dyDescent="0.3">
      <c r="A4">
        <v>2026</v>
      </c>
      <c r="B4" t="s">
        <v>26</v>
      </c>
      <c r="C4" t="s">
        <v>156</v>
      </c>
      <c r="D4" s="1">
        <v>46257</v>
      </c>
      <c r="E4">
        <v>20</v>
      </c>
    </row>
    <row r="5" spans="1:5" x14ac:dyDescent="0.3">
      <c r="A5">
        <v>2026</v>
      </c>
      <c r="B5" t="s">
        <v>154</v>
      </c>
      <c r="C5" t="s">
        <v>157</v>
      </c>
      <c r="D5" s="1">
        <v>46406</v>
      </c>
      <c r="E5">
        <v>20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963E91-D882-479A-BF69-30A875B37C07}">
  <dimension ref="A1:E5"/>
  <sheetViews>
    <sheetView workbookViewId="0">
      <selection activeCell="G12" sqref="G12"/>
    </sheetView>
  </sheetViews>
  <sheetFormatPr defaultRowHeight="14.4" x14ac:dyDescent="0.3"/>
  <cols>
    <col min="1" max="1" width="18.44140625" customWidth="1"/>
    <col min="2" max="2" width="5" bestFit="1" customWidth="1"/>
    <col min="3" max="3" width="26.6640625" bestFit="1" customWidth="1"/>
    <col min="4" max="4" width="9.44140625" bestFit="1" customWidth="1"/>
  </cols>
  <sheetData>
    <row r="1" spans="1:5" x14ac:dyDescent="0.3">
      <c r="A1" t="s">
        <v>22</v>
      </c>
      <c r="B1" t="s">
        <v>0</v>
      </c>
      <c r="C1" t="s">
        <v>1</v>
      </c>
      <c r="D1" t="s">
        <v>23</v>
      </c>
      <c r="E1" t="s">
        <v>24</v>
      </c>
    </row>
    <row r="2" spans="1:5" x14ac:dyDescent="0.3">
      <c r="A2">
        <v>2025</v>
      </c>
      <c r="B2" t="s">
        <v>26</v>
      </c>
      <c r="C2" t="s">
        <v>25</v>
      </c>
      <c r="D2" s="1">
        <v>45892</v>
      </c>
      <c r="E2">
        <v>20</v>
      </c>
    </row>
    <row r="3" spans="1:5" x14ac:dyDescent="0.3">
      <c r="A3">
        <v>2025</v>
      </c>
      <c r="B3" t="s">
        <v>154</v>
      </c>
      <c r="C3" t="s">
        <v>155</v>
      </c>
      <c r="D3" s="1">
        <v>46041</v>
      </c>
      <c r="E3">
        <v>20</v>
      </c>
    </row>
    <row r="4" spans="1:5" x14ac:dyDescent="0.3">
      <c r="A4">
        <v>2026</v>
      </c>
      <c r="B4" t="s">
        <v>26</v>
      </c>
      <c r="C4" t="s">
        <v>156</v>
      </c>
      <c r="D4" s="1">
        <v>46257</v>
      </c>
      <c r="E4">
        <v>20</v>
      </c>
    </row>
    <row r="5" spans="1:5" x14ac:dyDescent="0.3">
      <c r="A5">
        <v>2026</v>
      </c>
      <c r="B5" t="s">
        <v>154</v>
      </c>
      <c r="C5" t="s">
        <v>157</v>
      </c>
      <c r="D5" s="1">
        <v>46406</v>
      </c>
      <c r="E5">
        <v>20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606C9-E527-4833-815B-7C89A68E0A64}">
  <dimension ref="A1:B6"/>
  <sheetViews>
    <sheetView workbookViewId="0">
      <selection activeCell="B7" sqref="B7"/>
    </sheetView>
  </sheetViews>
  <sheetFormatPr defaultRowHeight="14.4" x14ac:dyDescent="0.3"/>
  <cols>
    <col min="1" max="1" width="5" bestFit="1" customWidth="1"/>
    <col min="2" max="2" width="10.33203125" bestFit="1" customWidth="1"/>
  </cols>
  <sheetData>
    <row r="1" spans="1:2" x14ac:dyDescent="0.3">
      <c r="A1" t="s">
        <v>0</v>
      </c>
      <c r="B1" t="s">
        <v>1</v>
      </c>
    </row>
    <row r="2" spans="1:2" x14ac:dyDescent="0.3">
      <c r="A2" t="s">
        <v>27</v>
      </c>
      <c r="B2" t="s">
        <v>28</v>
      </c>
    </row>
    <row r="3" spans="1:2" x14ac:dyDescent="0.3">
      <c r="A3" t="s">
        <v>29</v>
      </c>
      <c r="B3" t="s">
        <v>30</v>
      </c>
    </row>
    <row r="4" spans="1:2" x14ac:dyDescent="0.3">
      <c r="A4" t="s">
        <v>31</v>
      </c>
      <c r="B4" t="s">
        <v>32</v>
      </c>
    </row>
    <row r="5" spans="1:2" x14ac:dyDescent="0.3">
      <c r="A5" t="s">
        <v>33</v>
      </c>
      <c r="B5" t="s">
        <v>34</v>
      </c>
    </row>
    <row r="6" spans="1:2" x14ac:dyDescent="0.3">
      <c r="A6" t="s">
        <v>124</v>
      </c>
      <c r="B6" t="s">
        <v>391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FADDFD-1BCA-49B7-BE48-CE6B44BFD24D}">
  <dimension ref="A1:B6"/>
  <sheetViews>
    <sheetView workbookViewId="0">
      <selection activeCell="B7" sqref="B7"/>
    </sheetView>
  </sheetViews>
  <sheetFormatPr defaultRowHeight="14.4" x14ac:dyDescent="0.3"/>
  <sheetData>
    <row r="1" spans="1:2" x14ac:dyDescent="0.3">
      <c r="A1" t="s">
        <v>0</v>
      </c>
      <c r="B1" t="s">
        <v>1</v>
      </c>
    </row>
    <row r="2" spans="1:2" x14ac:dyDescent="0.3">
      <c r="A2" t="s">
        <v>29</v>
      </c>
      <c r="B2" t="s">
        <v>35</v>
      </c>
    </row>
    <row r="3" spans="1:2" x14ac:dyDescent="0.3">
      <c r="A3" t="s">
        <v>37</v>
      </c>
      <c r="B3" t="s">
        <v>38</v>
      </c>
    </row>
    <row r="4" spans="1:2" x14ac:dyDescent="0.3">
      <c r="A4" t="s">
        <v>36</v>
      </c>
      <c r="B4" t="s">
        <v>39</v>
      </c>
    </row>
    <row r="5" spans="1:2" x14ac:dyDescent="0.3">
      <c r="A5" t="s">
        <v>40</v>
      </c>
      <c r="B5" t="s">
        <v>41</v>
      </c>
    </row>
    <row r="6" spans="1:2" x14ac:dyDescent="0.3">
      <c r="A6" t="s">
        <v>42</v>
      </c>
      <c r="B6" t="s">
        <v>43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427A1-A99B-474F-B179-BB6EC3EA8E7F}">
  <dimension ref="A1:G11"/>
  <sheetViews>
    <sheetView workbookViewId="0">
      <selection activeCell="E1" sqref="E1"/>
    </sheetView>
  </sheetViews>
  <sheetFormatPr defaultRowHeight="14.4" x14ac:dyDescent="0.3"/>
  <cols>
    <col min="1" max="1" width="11.44140625" bestFit="1" customWidth="1"/>
    <col min="2" max="2" width="32.5546875" bestFit="1" customWidth="1"/>
    <col min="3" max="3" width="7.88671875" customWidth="1"/>
    <col min="4" max="4" width="9.88671875" bestFit="1" customWidth="1"/>
    <col min="6" max="6" width="11.33203125" bestFit="1" customWidth="1"/>
  </cols>
  <sheetData>
    <row r="1" spans="1:7" x14ac:dyDescent="0.3">
      <c r="A1" t="s">
        <v>0</v>
      </c>
      <c r="B1" t="s">
        <v>1</v>
      </c>
      <c r="C1" t="s">
        <v>49</v>
      </c>
      <c r="D1" t="s">
        <v>50</v>
      </c>
      <c r="E1" t="s">
        <v>51</v>
      </c>
      <c r="F1" t="s">
        <v>52</v>
      </c>
      <c r="G1" t="s">
        <v>53</v>
      </c>
    </row>
    <row r="2" spans="1:7" ht="15.6" x14ac:dyDescent="0.3">
      <c r="A2" t="s">
        <v>54</v>
      </c>
      <c r="B2" s="2" t="s">
        <v>59</v>
      </c>
      <c r="C2" s="2" t="s">
        <v>16</v>
      </c>
      <c r="D2" t="s">
        <v>2</v>
      </c>
      <c r="F2">
        <v>70</v>
      </c>
      <c r="G2">
        <v>4</v>
      </c>
    </row>
    <row r="3" spans="1:7" ht="15.6" x14ac:dyDescent="0.3">
      <c r="A3" t="s">
        <v>55</v>
      </c>
      <c r="B3" t="s">
        <v>60</v>
      </c>
      <c r="C3" s="2" t="s">
        <v>16</v>
      </c>
      <c r="D3" t="s">
        <v>2</v>
      </c>
      <c r="F3">
        <v>70</v>
      </c>
      <c r="G3">
        <v>4</v>
      </c>
    </row>
    <row r="4" spans="1:7" ht="15.6" x14ac:dyDescent="0.3">
      <c r="A4" t="s">
        <v>56</v>
      </c>
      <c r="B4" t="s">
        <v>61</v>
      </c>
      <c r="C4" s="2" t="s">
        <v>16</v>
      </c>
      <c r="D4" t="s">
        <v>2</v>
      </c>
      <c r="F4">
        <v>70</v>
      </c>
      <c r="G4">
        <v>4</v>
      </c>
    </row>
    <row r="5" spans="1:7" ht="15.6" x14ac:dyDescent="0.3">
      <c r="A5" t="s">
        <v>2</v>
      </c>
      <c r="B5" t="s">
        <v>62</v>
      </c>
      <c r="C5" s="2" t="s">
        <v>13</v>
      </c>
      <c r="D5" t="s">
        <v>2</v>
      </c>
      <c r="F5">
        <v>90</v>
      </c>
      <c r="G5">
        <v>5</v>
      </c>
    </row>
    <row r="6" spans="1:7" ht="15.6" x14ac:dyDescent="0.3">
      <c r="A6" t="s">
        <v>57</v>
      </c>
      <c r="B6" t="s">
        <v>63</v>
      </c>
      <c r="C6" s="2" t="s">
        <v>13</v>
      </c>
      <c r="D6" t="s">
        <v>2</v>
      </c>
      <c r="F6">
        <v>90</v>
      </c>
      <c r="G6">
        <v>5</v>
      </c>
    </row>
    <row r="7" spans="1:7" ht="15.6" x14ac:dyDescent="0.3">
      <c r="A7" t="s">
        <v>58</v>
      </c>
      <c r="B7" t="s">
        <v>64</v>
      </c>
      <c r="C7" s="2" t="s">
        <v>13</v>
      </c>
      <c r="D7" t="s">
        <v>2</v>
      </c>
      <c r="F7">
        <v>90</v>
      </c>
      <c r="G7">
        <v>5</v>
      </c>
    </row>
    <row r="8" spans="1:7" ht="15.6" x14ac:dyDescent="0.3">
      <c r="A8" t="s">
        <v>65</v>
      </c>
      <c r="B8" t="s">
        <v>68</v>
      </c>
      <c r="C8" s="2" t="s">
        <v>16</v>
      </c>
      <c r="D8" t="s">
        <v>2</v>
      </c>
      <c r="E8">
        <v>1</v>
      </c>
      <c r="F8">
        <v>70</v>
      </c>
      <c r="G8">
        <v>4</v>
      </c>
    </row>
    <row r="9" spans="1:7" ht="15.6" x14ac:dyDescent="0.3">
      <c r="A9" t="s">
        <v>66</v>
      </c>
      <c r="B9" t="s">
        <v>67</v>
      </c>
      <c r="C9" s="3" t="s">
        <v>13</v>
      </c>
      <c r="D9" t="s">
        <v>2</v>
      </c>
      <c r="E9">
        <v>1</v>
      </c>
      <c r="F9">
        <v>90</v>
      </c>
      <c r="G9">
        <v>5</v>
      </c>
    </row>
    <row r="10" spans="1:7" ht="15.6" x14ac:dyDescent="0.3">
      <c r="A10" t="s">
        <v>223</v>
      </c>
      <c r="B10" t="s">
        <v>225</v>
      </c>
      <c r="C10" s="3" t="s">
        <v>16</v>
      </c>
      <c r="D10" t="s">
        <v>2</v>
      </c>
      <c r="E10">
        <v>1</v>
      </c>
      <c r="F10">
        <v>0</v>
      </c>
      <c r="G10">
        <v>0</v>
      </c>
    </row>
    <row r="11" spans="1:7" ht="15.6" x14ac:dyDescent="0.3">
      <c r="A11" t="s">
        <v>224</v>
      </c>
      <c r="B11" t="s">
        <v>226</v>
      </c>
      <c r="C11" s="3" t="s">
        <v>13</v>
      </c>
      <c r="D11" t="s">
        <v>2</v>
      </c>
      <c r="E11">
        <v>1</v>
      </c>
      <c r="F11">
        <v>0</v>
      </c>
      <c r="G11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452E7-A674-4D8D-A7D3-0DCE3A40E3CB}">
  <dimension ref="A1:F31"/>
  <sheetViews>
    <sheetView topLeftCell="A7" workbookViewId="0">
      <selection activeCell="F2" sqref="F2"/>
    </sheetView>
  </sheetViews>
  <sheetFormatPr defaultRowHeight="14.4" x14ac:dyDescent="0.3"/>
  <cols>
    <col min="1" max="1" width="17.21875" customWidth="1"/>
    <col min="2" max="2" width="15.6640625" customWidth="1"/>
    <col min="3" max="3" width="18.44140625" customWidth="1"/>
  </cols>
  <sheetData>
    <row r="1" spans="1:6" x14ac:dyDescent="0.3">
      <c r="A1" t="s">
        <v>440</v>
      </c>
      <c r="B1" t="s">
        <v>441</v>
      </c>
      <c r="C1" t="s">
        <v>442</v>
      </c>
      <c r="D1" t="s">
        <v>443</v>
      </c>
      <c r="F1" t="s">
        <v>444</v>
      </c>
    </row>
    <row r="2" spans="1:6" x14ac:dyDescent="0.3">
      <c r="A2" t="s">
        <v>54</v>
      </c>
      <c r="B2">
        <v>2025</v>
      </c>
      <c r="C2" t="s">
        <v>410</v>
      </c>
    </row>
    <row r="3" spans="1:6" x14ac:dyDescent="0.3">
      <c r="A3" t="s">
        <v>55</v>
      </c>
      <c r="B3">
        <v>2025</v>
      </c>
      <c r="C3" t="s">
        <v>411</v>
      </c>
    </row>
    <row r="4" spans="1:6" x14ac:dyDescent="0.3">
      <c r="A4" t="s">
        <v>56</v>
      </c>
      <c r="B4">
        <v>2025</v>
      </c>
      <c r="C4" t="s">
        <v>412</v>
      </c>
    </row>
    <row r="5" spans="1:6" x14ac:dyDescent="0.3">
      <c r="A5" t="s">
        <v>2</v>
      </c>
      <c r="B5">
        <v>2025</v>
      </c>
      <c r="C5" t="s">
        <v>413</v>
      </c>
    </row>
    <row r="6" spans="1:6" x14ac:dyDescent="0.3">
      <c r="A6" t="s">
        <v>57</v>
      </c>
      <c r="B6">
        <v>2025</v>
      </c>
      <c r="C6" t="s">
        <v>414</v>
      </c>
    </row>
    <row r="7" spans="1:6" x14ac:dyDescent="0.3">
      <c r="A7" t="s">
        <v>58</v>
      </c>
      <c r="B7">
        <v>2025</v>
      </c>
      <c r="C7" t="s">
        <v>415</v>
      </c>
    </row>
    <row r="8" spans="1:6" x14ac:dyDescent="0.3">
      <c r="A8" t="s">
        <v>65</v>
      </c>
      <c r="B8">
        <v>2025</v>
      </c>
      <c r="C8" t="s">
        <v>416</v>
      </c>
    </row>
    <row r="9" spans="1:6" x14ac:dyDescent="0.3">
      <c r="A9" t="s">
        <v>66</v>
      </c>
      <c r="B9">
        <v>2025</v>
      </c>
      <c r="C9" t="s">
        <v>417</v>
      </c>
    </row>
    <row r="10" spans="1:6" x14ac:dyDescent="0.3">
      <c r="A10" t="s">
        <v>223</v>
      </c>
      <c r="B10">
        <v>2025</v>
      </c>
      <c r="C10" t="s">
        <v>418</v>
      </c>
    </row>
    <row r="11" spans="1:6" x14ac:dyDescent="0.3">
      <c r="A11" t="s">
        <v>224</v>
      </c>
      <c r="B11">
        <v>2025</v>
      </c>
      <c r="C11" t="s">
        <v>419</v>
      </c>
    </row>
    <row r="12" spans="1:6" x14ac:dyDescent="0.3">
      <c r="A12" t="s">
        <v>54</v>
      </c>
      <c r="B12">
        <v>2026</v>
      </c>
      <c r="C12" t="s">
        <v>420</v>
      </c>
    </row>
    <row r="13" spans="1:6" x14ac:dyDescent="0.3">
      <c r="A13" t="s">
        <v>55</v>
      </c>
      <c r="B13">
        <v>2026</v>
      </c>
      <c r="C13" t="s">
        <v>421</v>
      </c>
    </row>
    <row r="14" spans="1:6" x14ac:dyDescent="0.3">
      <c r="A14" t="s">
        <v>56</v>
      </c>
      <c r="B14">
        <v>2026</v>
      </c>
      <c r="C14" t="s">
        <v>422</v>
      </c>
    </row>
    <row r="15" spans="1:6" x14ac:dyDescent="0.3">
      <c r="A15" t="s">
        <v>2</v>
      </c>
      <c r="B15">
        <v>2026</v>
      </c>
      <c r="C15" t="s">
        <v>423</v>
      </c>
    </row>
    <row r="16" spans="1:6" x14ac:dyDescent="0.3">
      <c r="A16" t="s">
        <v>57</v>
      </c>
      <c r="B16">
        <v>2026</v>
      </c>
      <c r="C16" t="s">
        <v>424</v>
      </c>
    </row>
    <row r="17" spans="1:3" x14ac:dyDescent="0.3">
      <c r="A17" t="s">
        <v>58</v>
      </c>
      <c r="B17">
        <v>2026</v>
      </c>
      <c r="C17" t="s">
        <v>425</v>
      </c>
    </row>
    <row r="18" spans="1:3" x14ac:dyDescent="0.3">
      <c r="A18" t="s">
        <v>65</v>
      </c>
      <c r="B18">
        <v>2026</v>
      </c>
      <c r="C18" t="s">
        <v>426</v>
      </c>
    </row>
    <row r="19" spans="1:3" x14ac:dyDescent="0.3">
      <c r="A19" t="s">
        <v>66</v>
      </c>
      <c r="B19">
        <v>2026</v>
      </c>
      <c r="C19" t="s">
        <v>427</v>
      </c>
    </row>
    <row r="20" spans="1:3" x14ac:dyDescent="0.3">
      <c r="A20" t="s">
        <v>223</v>
      </c>
      <c r="B20">
        <v>2026</v>
      </c>
      <c r="C20" t="s">
        <v>428</v>
      </c>
    </row>
    <row r="21" spans="1:3" x14ac:dyDescent="0.3">
      <c r="A21" t="s">
        <v>224</v>
      </c>
      <c r="B21">
        <v>2026</v>
      </c>
      <c r="C21" t="s">
        <v>429</v>
      </c>
    </row>
    <row r="22" spans="1:3" x14ac:dyDescent="0.3">
      <c r="A22" t="s">
        <v>54</v>
      </c>
      <c r="B22">
        <v>2024</v>
      </c>
      <c r="C22" t="s">
        <v>430</v>
      </c>
    </row>
    <row r="23" spans="1:3" x14ac:dyDescent="0.3">
      <c r="A23" t="s">
        <v>55</v>
      </c>
      <c r="B23">
        <v>2024</v>
      </c>
      <c r="C23" t="s">
        <v>431</v>
      </c>
    </row>
    <row r="24" spans="1:3" x14ac:dyDescent="0.3">
      <c r="A24" t="s">
        <v>56</v>
      </c>
      <c r="B24">
        <v>2024</v>
      </c>
      <c r="C24" t="s">
        <v>432</v>
      </c>
    </row>
    <row r="25" spans="1:3" x14ac:dyDescent="0.3">
      <c r="A25" t="s">
        <v>2</v>
      </c>
      <c r="B25">
        <v>2024</v>
      </c>
      <c r="C25" t="s">
        <v>433</v>
      </c>
    </row>
    <row r="26" spans="1:3" x14ac:dyDescent="0.3">
      <c r="A26" t="s">
        <v>57</v>
      </c>
      <c r="B26">
        <v>2024</v>
      </c>
      <c r="C26" t="s">
        <v>434</v>
      </c>
    </row>
    <row r="27" spans="1:3" x14ac:dyDescent="0.3">
      <c r="A27" t="s">
        <v>58</v>
      </c>
      <c r="B27">
        <v>2024</v>
      </c>
      <c r="C27" t="s">
        <v>435</v>
      </c>
    </row>
    <row r="28" spans="1:3" x14ac:dyDescent="0.3">
      <c r="A28" t="s">
        <v>65</v>
      </c>
      <c r="B28">
        <v>2024</v>
      </c>
      <c r="C28" t="s">
        <v>436</v>
      </c>
    </row>
    <row r="29" spans="1:3" x14ac:dyDescent="0.3">
      <c r="A29" t="s">
        <v>66</v>
      </c>
      <c r="B29">
        <v>2024</v>
      </c>
      <c r="C29" t="s">
        <v>437</v>
      </c>
    </row>
    <row r="30" spans="1:3" x14ac:dyDescent="0.3">
      <c r="A30" t="s">
        <v>223</v>
      </c>
      <c r="B30">
        <v>2024</v>
      </c>
      <c r="C30" t="s">
        <v>438</v>
      </c>
    </row>
    <row r="31" spans="1:3" x14ac:dyDescent="0.3">
      <c r="A31" t="s">
        <v>224</v>
      </c>
      <c r="B31">
        <v>2024</v>
      </c>
      <c r="C31" t="s">
        <v>439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3C1EC-ADEE-442D-A531-5025017BD070}">
  <dimension ref="A1:X126"/>
  <sheetViews>
    <sheetView tabSelected="1" topLeftCell="A57" zoomScale="85" zoomScaleNormal="85" workbookViewId="0">
      <selection activeCell="B67" sqref="B67"/>
    </sheetView>
  </sheetViews>
  <sheetFormatPr defaultColWidth="17.6640625" defaultRowHeight="13.8" x14ac:dyDescent="0.25"/>
  <cols>
    <col min="1" max="1" width="17.6640625" style="6"/>
    <col min="2" max="2" width="36.44140625" style="6" customWidth="1"/>
    <col min="3" max="3" width="8.77734375" style="6" customWidth="1"/>
    <col min="4" max="4" width="7.44140625" style="6" customWidth="1"/>
    <col min="5" max="5" width="4.88671875" style="6" customWidth="1"/>
    <col min="6" max="6" width="6.109375" style="6" customWidth="1"/>
    <col min="7" max="7" width="5.5546875" style="6" customWidth="1"/>
    <col min="8" max="8" width="8.109375" style="6" customWidth="1"/>
    <col min="9" max="10" width="6.6640625" style="6" customWidth="1"/>
    <col min="11" max="11" width="6.44140625" style="6" customWidth="1"/>
    <col min="12" max="12" width="6.5546875" style="6" customWidth="1"/>
    <col min="13" max="14" width="8.109375" style="6" customWidth="1"/>
    <col min="15" max="16384" width="17.6640625" style="6"/>
  </cols>
  <sheetData>
    <row r="1" spans="1:24" x14ac:dyDescent="0.25">
      <c r="A1" s="10" t="s">
        <v>0</v>
      </c>
      <c r="B1" s="10" t="s">
        <v>1</v>
      </c>
      <c r="C1" s="10" t="s">
        <v>128</v>
      </c>
      <c r="D1" s="10" t="s">
        <v>129</v>
      </c>
      <c r="E1" s="10" t="s">
        <v>130</v>
      </c>
      <c r="F1" s="10" t="s">
        <v>131</v>
      </c>
      <c r="G1" s="10" t="s">
        <v>132</v>
      </c>
      <c r="H1" s="10" t="s">
        <v>133</v>
      </c>
      <c r="I1" s="10" t="s">
        <v>134</v>
      </c>
      <c r="J1" s="10" t="s">
        <v>135</v>
      </c>
      <c r="K1" s="10" t="s">
        <v>392</v>
      </c>
      <c r="L1" s="10" t="s">
        <v>393</v>
      </c>
      <c r="M1" s="10" t="s">
        <v>394</v>
      </c>
      <c r="Q1" s="6" t="s">
        <v>478</v>
      </c>
    </row>
    <row r="2" spans="1:24" ht="17.399999999999999" customHeight="1" x14ac:dyDescent="0.25">
      <c r="A2" s="11" t="s">
        <v>136</v>
      </c>
      <c r="B2" s="11" t="s">
        <v>35</v>
      </c>
      <c r="C2" s="11" t="s">
        <v>54</v>
      </c>
      <c r="D2" s="11" t="s">
        <v>2</v>
      </c>
      <c r="E2" s="10" t="s">
        <v>29</v>
      </c>
      <c r="F2" s="11">
        <v>45</v>
      </c>
      <c r="G2" s="10">
        <v>35</v>
      </c>
      <c r="H2" s="10" t="s">
        <v>29</v>
      </c>
      <c r="I2" s="10" t="s">
        <v>29</v>
      </c>
      <c r="J2" s="10"/>
      <c r="K2" s="11" t="s">
        <v>404</v>
      </c>
      <c r="L2" s="10">
        <v>0</v>
      </c>
      <c r="M2" s="12">
        <v>1</v>
      </c>
      <c r="N2" s="8"/>
      <c r="P2" s="6">
        <f>IF(LEFT(A2,2)="MH",35,20)</f>
        <v>35</v>
      </c>
      <c r="Q2" s="9" t="s">
        <v>395</v>
      </c>
      <c r="R2" s="9"/>
      <c r="S2" s="6" t="s">
        <v>54</v>
      </c>
      <c r="T2" s="6">
        <f>IF(K2="",0,VLOOKUP(K2,$V$2:$W$7,2,0))</f>
        <v>0</v>
      </c>
      <c r="U2" s="9" t="s">
        <v>30</v>
      </c>
      <c r="V2" s="7" t="s">
        <v>29</v>
      </c>
      <c r="W2" s="7">
        <v>1</v>
      </c>
      <c r="X2" s="9" t="s">
        <v>395</v>
      </c>
    </row>
    <row r="3" spans="1:24" ht="15.6" x14ac:dyDescent="0.25">
      <c r="A3" s="11" t="s">
        <v>137</v>
      </c>
      <c r="B3" s="11" t="s">
        <v>318</v>
      </c>
      <c r="C3" s="11" t="s">
        <v>54</v>
      </c>
      <c r="D3" s="11" t="s">
        <v>2</v>
      </c>
      <c r="E3" s="10" t="s">
        <v>29</v>
      </c>
      <c r="F3" s="11">
        <v>60</v>
      </c>
      <c r="G3" s="10">
        <v>35</v>
      </c>
      <c r="H3" s="10" t="s">
        <v>29</v>
      </c>
      <c r="I3" s="10" t="s">
        <v>42</v>
      </c>
      <c r="J3" s="10"/>
      <c r="K3" s="11" t="s">
        <v>405</v>
      </c>
      <c r="L3" s="10">
        <v>0</v>
      </c>
      <c r="M3" s="12">
        <v>2</v>
      </c>
      <c r="N3" s="8"/>
      <c r="P3" s="6">
        <f t="shared" ref="P3:P66" si="0">IF(LEFT(A3,2)="MH",35,20)</f>
        <v>35</v>
      </c>
      <c r="Q3" s="9" t="s">
        <v>396</v>
      </c>
      <c r="R3" s="9"/>
      <c r="S3" s="6" t="s">
        <v>55</v>
      </c>
      <c r="T3" s="6">
        <f t="shared" ref="T3:T66" si="1">IF(K3="",0,VLOOKUP(K3,$V$2:$W$7,2,0))</f>
        <v>0</v>
      </c>
      <c r="U3" s="9" t="s">
        <v>396</v>
      </c>
      <c r="V3" s="7" t="s">
        <v>405</v>
      </c>
      <c r="W3" s="7">
        <v>0</v>
      </c>
      <c r="X3" s="9" t="s">
        <v>396</v>
      </c>
    </row>
    <row r="4" spans="1:24" ht="31.2" x14ac:dyDescent="0.25">
      <c r="A4" s="11" t="s">
        <v>138</v>
      </c>
      <c r="B4" s="11" t="s">
        <v>390</v>
      </c>
      <c r="C4" s="11" t="s">
        <v>54</v>
      </c>
      <c r="D4" s="11" t="s">
        <v>2</v>
      </c>
      <c r="E4" s="10" t="s">
        <v>29</v>
      </c>
      <c r="F4" s="11">
        <v>75</v>
      </c>
      <c r="G4" s="10">
        <v>35</v>
      </c>
      <c r="H4" s="10" t="s">
        <v>29</v>
      </c>
      <c r="I4" s="10" t="s">
        <v>40</v>
      </c>
      <c r="J4" s="10"/>
      <c r="K4" s="11" t="s">
        <v>405</v>
      </c>
      <c r="L4" s="10">
        <v>0</v>
      </c>
      <c r="M4" s="12">
        <v>2</v>
      </c>
      <c r="N4" s="8"/>
      <c r="P4" s="6">
        <f t="shared" si="0"/>
        <v>35</v>
      </c>
      <c r="Q4" s="9" t="s">
        <v>396</v>
      </c>
      <c r="R4" s="9"/>
      <c r="S4" s="6" t="s">
        <v>56</v>
      </c>
      <c r="T4" s="6">
        <f t="shared" si="1"/>
        <v>0</v>
      </c>
      <c r="U4" s="9" t="s">
        <v>395</v>
      </c>
      <c r="V4" s="7" t="s">
        <v>404</v>
      </c>
      <c r="W4" s="7">
        <v>0</v>
      </c>
      <c r="X4" s="9" t="s">
        <v>396</v>
      </c>
    </row>
    <row r="5" spans="1:24" ht="15.6" x14ac:dyDescent="0.25">
      <c r="A5" s="11" t="s">
        <v>139</v>
      </c>
      <c r="B5" s="11" t="s">
        <v>319</v>
      </c>
      <c r="C5" s="11" t="s">
        <v>54</v>
      </c>
      <c r="D5" s="11" t="s">
        <v>2</v>
      </c>
      <c r="E5" s="10" t="s">
        <v>29</v>
      </c>
      <c r="F5" s="11">
        <v>75</v>
      </c>
      <c r="G5" s="10">
        <v>35</v>
      </c>
      <c r="H5" s="10" t="s">
        <v>29</v>
      </c>
      <c r="I5" s="10" t="s">
        <v>42</v>
      </c>
      <c r="J5" s="10"/>
      <c r="K5" s="11" t="s">
        <v>405</v>
      </c>
      <c r="L5" s="10">
        <v>0</v>
      </c>
      <c r="M5" s="12">
        <v>2</v>
      </c>
      <c r="N5" s="8"/>
      <c r="P5" s="6">
        <f t="shared" si="0"/>
        <v>35</v>
      </c>
      <c r="Q5" s="9" t="s">
        <v>396</v>
      </c>
      <c r="R5" s="9"/>
      <c r="S5" s="6" t="s">
        <v>2</v>
      </c>
      <c r="T5" s="6">
        <f t="shared" si="1"/>
        <v>0</v>
      </c>
      <c r="U5" s="7" t="s">
        <v>402</v>
      </c>
      <c r="V5" s="7" t="s">
        <v>402</v>
      </c>
      <c r="W5" s="7">
        <v>1</v>
      </c>
      <c r="X5" s="9" t="s">
        <v>396</v>
      </c>
    </row>
    <row r="6" spans="1:24" ht="15.6" x14ac:dyDescent="0.25">
      <c r="A6" s="11" t="s">
        <v>140</v>
      </c>
      <c r="B6" s="11" t="s">
        <v>38</v>
      </c>
      <c r="C6" s="11" t="s">
        <v>54</v>
      </c>
      <c r="D6" s="11" t="s">
        <v>2</v>
      </c>
      <c r="E6" s="10" t="s">
        <v>29</v>
      </c>
      <c r="F6" s="11">
        <v>90</v>
      </c>
      <c r="G6" s="10">
        <v>35</v>
      </c>
      <c r="H6" s="10" t="s">
        <v>29</v>
      </c>
      <c r="I6" s="10" t="s">
        <v>37</v>
      </c>
      <c r="J6" s="10"/>
      <c r="K6" s="11" t="s">
        <v>405</v>
      </c>
      <c r="L6" s="10">
        <v>0</v>
      </c>
      <c r="M6" s="12">
        <v>2</v>
      </c>
      <c r="N6" s="8"/>
      <c r="P6" s="6">
        <f t="shared" si="0"/>
        <v>35</v>
      </c>
      <c r="Q6" s="9" t="s">
        <v>396</v>
      </c>
      <c r="R6" s="9"/>
      <c r="S6" s="6" t="s">
        <v>57</v>
      </c>
      <c r="T6" s="6">
        <f t="shared" si="1"/>
        <v>0</v>
      </c>
      <c r="U6" s="7" t="s">
        <v>477</v>
      </c>
      <c r="V6" s="7" t="s">
        <v>477</v>
      </c>
      <c r="W6" s="7">
        <v>0</v>
      </c>
      <c r="X6" s="9" t="s">
        <v>396</v>
      </c>
    </row>
    <row r="7" spans="1:24" ht="15.6" x14ac:dyDescent="0.25">
      <c r="A7" s="11" t="s">
        <v>141</v>
      </c>
      <c r="B7" s="11" t="s">
        <v>462</v>
      </c>
      <c r="C7" s="11" t="s">
        <v>54</v>
      </c>
      <c r="D7" s="11" t="s">
        <v>2</v>
      </c>
      <c r="E7" s="10" t="s">
        <v>29</v>
      </c>
      <c r="F7" s="11"/>
      <c r="G7" s="10">
        <v>35</v>
      </c>
      <c r="H7" s="10" t="s">
        <v>29</v>
      </c>
      <c r="I7" s="10" t="s">
        <v>42</v>
      </c>
      <c r="J7" s="10"/>
      <c r="K7" s="11" t="s">
        <v>405</v>
      </c>
      <c r="L7" s="10">
        <v>0</v>
      </c>
      <c r="M7" s="12">
        <v>3</v>
      </c>
      <c r="N7" s="8"/>
      <c r="P7" s="6">
        <f t="shared" si="0"/>
        <v>35</v>
      </c>
      <c r="Q7" s="9" t="s">
        <v>396</v>
      </c>
      <c r="R7" s="9"/>
      <c r="S7" s="6" t="s">
        <v>58</v>
      </c>
      <c r="T7" s="6">
        <f t="shared" si="1"/>
        <v>0</v>
      </c>
      <c r="U7" s="7" t="s">
        <v>397</v>
      </c>
      <c r="V7" s="7" t="s">
        <v>29</v>
      </c>
      <c r="W7" s="7">
        <v>1</v>
      </c>
      <c r="X7" s="9" t="s">
        <v>396</v>
      </c>
    </row>
    <row r="8" spans="1:24" ht="15.6" x14ac:dyDescent="0.25">
      <c r="A8" s="11" t="s">
        <v>142</v>
      </c>
      <c r="B8" s="11" t="s">
        <v>320</v>
      </c>
      <c r="C8" s="11" t="s">
        <v>54</v>
      </c>
      <c r="D8" s="11" t="s">
        <v>2</v>
      </c>
      <c r="E8" s="10" t="s">
        <v>29</v>
      </c>
      <c r="F8" s="11"/>
      <c r="G8" s="10">
        <v>20</v>
      </c>
      <c r="H8" s="10" t="s">
        <v>29</v>
      </c>
      <c r="I8" s="10" t="s">
        <v>37</v>
      </c>
      <c r="J8" s="10"/>
      <c r="K8" s="11" t="s">
        <v>405</v>
      </c>
      <c r="L8" s="10">
        <v>0</v>
      </c>
      <c r="M8" s="12">
        <v>3</v>
      </c>
      <c r="N8" s="8"/>
      <c r="P8" s="6">
        <f t="shared" si="0"/>
        <v>20</v>
      </c>
      <c r="Q8" s="9" t="s">
        <v>396</v>
      </c>
      <c r="R8" s="9"/>
      <c r="S8" s="6" t="s">
        <v>65</v>
      </c>
      <c r="T8" s="6">
        <f t="shared" si="1"/>
        <v>0</v>
      </c>
      <c r="U8" s="7" t="s">
        <v>406</v>
      </c>
      <c r="V8" s="7" t="s">
        <v>29</v>
      </c>
      <c r="W8" s="7">
        <v>1</v>
      </c>
      <c r="X8" s="9" t="s">
        <v>396</v>
      </c>
    </row>
    <row r="9" spans="1:24" ht="18" customHeight="1" x14ac:dyDescent="0.25">
      <c r="A9" s="11" t="s">
        <v>143</v>
      </c>
      <c r="B9" s="11" t="s">
        <v>463</v>
      </c>
      <c r="C9" s="11" t="s">
        <v>54</v>
      </c>
      <c r="D9" s="11" t="s">
        <v>2</v>
      </c>
      <c r="E9" s="10" t="s">
        <v>29</v>
      </c>
      <c r="F9" s="11"/>
      <c r="G9" s="10">
        <v>35</v>
      </c>
      <c r="H9" s="10" t="s">
        <v>29</v>
      </c>
      <c r="I9" s="10" t="s">
        <v>40</v>
      </c>
      <c r="J9" s="10"/>
      <c r="K9" s="11" t="s">
        <v>404</v>
      </c>
      <c r="L9" s="10">
        <v>0</v>
      </c>
      <c r="M9" s="12">
        <v>3</v>
      </c>
      <c r="N9" s="8"/>
      <c r="P9" s="6">
        <f t="shared" si="0"/>
        <v>35</v>
      </c>
      <c r="Q9" s="9" t="s">
        <v>395</v>
      </c>
      <c r="R9" s="9"/>
      <c r="S9" s="6" t="s">
        <v>66</v>
      </c>
      <c r="T9" s="6">
        <f t="shared" si="1"/>
        <v>0</v>
      </c>
      <c r="U9" s="7" t="s">
        <v>399</v>
      </c>
      <c r="V9" s="7" t="s">
        <v>404</v>
      </c>
      <c r="W9" s="7">
        <v>0</v>
      </c>
      <c r="X9" s="9" t="s">
        <v>395</v>
      </c>
    </row>
    <row r="10" spans="1:24" ht="15.6" x14ac:dyDescent="0.25">
      <c r="A10" s="11" t="s">
        <v>144</v>
      </c>
      <c r="B10" s="11" t="s">
        <v>360</v>
      </c>
      <c r="C10" s="11" t="s">
        <v>54</v>
      </c>
      <c r="D10" s="11" t="s">
        <v>2</v>
      </c>
      <c r="E10" s="10" t="s">
        <v>29</v>
      </c>
      <c r="F10" s="11"/>
      <c r="G10" s="10">
        <v>35</v>
      </c>
      <c r="H10" s="10" t="s">
        <v>29</v>
      </c>
      <c r="I10" s="10" t="s">
        <v>42</v>
      </c>
      <c r="J10" s="10"/>
      <c r="K10" s="11" t="s">
        <v>29</v>
      </c>
      <c r="L10" s="10">
        <v>1</v>
      </c>
      <c r="M10" s="12">
        <v>3</v>
      </c>
      <c r="N10" s="8"/>
      <c r="P10" s="6">
        <f t="shared" si="0"/>
        <v>35</v>
      </c>
      <c r="Q10" s="9" t="s">
        <v>30</v>
      </c>
      <c r="R10" s="9"/>
      <c r="S10" s="6" t="s">
        <v>223</v>
      </c>
      <c r="T10" s="6">
        <f t="shared" si="1"/>
        <v>1</v>
      </c>
      <c r="U10" s="7" t="s">
        <v>400</v>
      </c>
      <c r="V10" s="7" t="s">
        <v>477</v>
      </c>
      <c r="W10" s="7">
        <v>0</v>
      </c>
      <c r="X10" s="9" t="s">
        <v>30</v>
      </c>
    </row>
    <row r="11" spans="1:24" ht="16.2" customHeight="1" x14ac:dyDescent="0.25">
      <c r="A11" s="11" t="s">
        <v>145</v>
      </c>
      <c r="B11" s="11" t="s">
        <v>321</v>
      </c>
      <c r="C11" s="11" t="s">
        <v>54</v>
      </c>
      <c r="D11" s="11" t="s">
        <v>2</v>
      </c>
      <c r="E11" s="10" t="s">
        <v>29</v>
      </c>
      <c r="F11" s="11"/>
      <c r="G11" s="10">
        <v>35</v>
      </c>
      <c r="H11" s="10" t="s">
        <v>29</v>
      </c>
      <c r="I11" s="10" t="s">
        <v>42</v>
      </c>
      <c r="J11" s="10"/>
      <c r="K11" s="11" t="s">
        <v>29</v>
      </c>
      <c r="L11" s="10">
        <v>1</v>
      </c>
      <c r="M11" s="12">
        <v>3</v>
      </c>
      <c r="N11" s="8"/>
      <c r="P11" s="6">
        <f t="shared" si="0"/>
        <v>35</v>
      </c>
      <c r="Q11" s="9" t="s">
        <v>397</v>
      </c>
      <c r="R11" s="9"/>
      <c r="S11" s="6" t="s">
        <v>224</v>
      </c>
      <c r="T11" s="6">
        <f t="shared" si="1"/>
        <v>1</v>
      </c>
      <c r="U11" s="7" t="s">
        <v>407</v>
      </c>
      <c r="V11" s="7" t="s">
        <v>404</v>
      </c>
      <c r="W11" s="7">
        <v>0</v>
      </c>
      <c r="X11" s="9" t="s">
        <v>397</v>
      </c>
    </row>
    <row r="12" spans="1:24" ht="15.6" x14ac:dyDescent="0.25">
      <c r="A12" s="11" t="s">
        <v>146</v>
      </c>
      <c r="B12" s="11" t="s">
        <v>322</v>
      </c>
      <c r="C12" s="11" t="s">
        <v>54</v>
      </c>
      <c r="D12" s="11" t="s">
        <v>2</v>
      </c>
      <c r="E12" s="10"/>
      <c r="F12" s="11">
        <v>360</v>
      </c>
      <c r="G12" s="10">
        <v>20</v>
      </c>
      <c r="H12" s="10"/>
      <c r="I12" s="10"/>
      <c r="J12" s="10"/>
      <c r="K12" s="11" t="s">
        <v>476</v>
      </c>
      <c r="L12" s="10">
        <v>0</v>
      </c>
      <c r="M12" s="12">
        <v>4</v>
      </c>
      <c r="N12" s="8"/>
      <c r="P12" s="6">
        <f t="shared" si="0"/>
        <v>20</v>
      </c>
      <c r="Q12" s="9"/>
      <c r="R12" s="9"/>
      <c r="T12" s="6">
        <f t="shared" si="1"/>
        <v>0</v>
      </c>
      <c r="X12" s="9"/>
    </row>
    <row r="13" spans="1:24" ht="15.6" x14ac:dyDescent="0.25">
      <c r="A13" s="11" t="s">
        <v>147</v>
      </c>
      <c r="B13" s="11" t="s">
        <v>323</v>
      </c>
      <c r="C13" s="11" t="s">
        <v>54</v>
      </c>
      <c r="D13" s="11" t="s">
        <v>2</v>
      </c>
      <c r="E13" s="10"/>
      <c r="F13" s="11">
        <v>270</v>
      </c>
      <c r="G13" s="10">
        <v>20</v>
      </c>
      <c r="H13" s="10"/>
      <c r="I13" s="10"/>
      <c r="J13" s="10"/>
      <c r="K13" s="11" t="s">
        <v>476</v>
      </c>
      <c r="L13" s="10">
        <v>0</v>
      </c>
      <c r="M13" s="12">
        <v>4</v>
      </c>
      <c r="N13" s="8"/>
      <c r="P13" s="6">
        <f t="shared" si="0"/>
        <v>20</v>
      </c>
      <c r="Q13" s="9"/>
      <c r="R13" s="9"/>
      <c r="T13" s="6">
        <f t="shared" si="1"/>
        <v>0</v>
      </c>
      <c r="X13" s="9"/>
    </row>
    <row r="14" spans="1:24" ht="15.6" x14ac:dyDescent="0.25">
      <c r="A14" s="11" t="s">
        <v>148</v>
      </c>
      <c r="B14" s="11" t="s">
        <v>324</v>
      </c>
      <c r="C14" s="11" t="s">
        <v>54</v>
      </c>
      <c r="D14" s="11" t="s">
        <v>2</v>
      </c>
      <c r="E14" s="10" t="s">
        <v>29</v>
      </c>
      <c r="F14" s="11">
        <v>75</v>
      </c>
      <c r="G14" s="10">
        <v>20</v>
      </c>
      <c r="H14" s="10" t="s">
        <v>29</v>
      </c>
      <c r="I14" s="10" t="s">
        <v>190</v>
      </c>
      <c r="J14" s="10"/>
      <c r="K14" s="11" t="s">
        <v>405</v>
      </c>
      <c r="L14" s="10">
        <v>0</v>
      </c>
      <c r="M14" s="12">
        <v>4</v>
      </c>
      <c r="N14" s="8"/>
      <c r="P14" s="6">
        <f t="shared" si="0"/>
        <v>20</v>
      </c>
      <c r="Q14" s="9" t="s">
        <v>396</v>
      </c>
      <c r="R14" s="9"/>
      <c r="T14" s="6">
        <f t="shared" si="1"/>
        <v>0</v>
      </c>
      <c r="X14" s="9" t="s">
        <v>396</v>
      </c>
    </row>
    <row r="15" spans="1:24" ht="15.6" x14ac:dyDescent="0.25">
      <c r="A15" s="11" t="s">
        <v>149</v>
      </c>
      <c r="B15" s="11" t="s">
        <v>464</v>
      </c>
      <c r="C15" s="11" t="s">
        <v>54</v>
      </c>
      <c r="D15" s="11" t="s">
        <v>2</v>
      </c>
      <c r="E15" s="10" t="s">
        <v>29</v>
      </c>
      <c r="F15" s="11">
        <v>75</v>
      </c>
      <c r="G15" s="10">
        <v>20</v>
      </c>
      <c r="H15" s="10" t="s">
        <v>29</v>
      </c>
      <c r="I15" s="10" t="s">
        <v>42</v>
      </c>
      <c r="J15" s="10"/>
      <c r="K15" s="11" t="s">
        <v>405</v>
      </c>
      <c r="L15" s="10">
        <v>0</v>
      </c>
      <c r="M15" s="12">
        <v>4</v>
      </c>
      <c r="N15" s="8"/>
      <c r="P15" s="6">
        <f t="shared" si="0"/>
        <v>20</v>
      </c>
      <c r="Q15" s="9" t="s">
        <v>396</v>
      </c>
      <c r="R15" s="9"/>
      <c r="T15" s="6">
        <f t="shared" si="1"/>
        <v>0</v>
      </c>
      <c r="X15" s="9" t="s">
        <v>396</v>
      </c>
    </row>
    <row r="16" spans="1:24" ht="15.6" x14ac:dyDescent="0.25">
      <c r="A16" s="11" t="s">
        <v>457</v>
      </c>
      <c r="B16" s="11" t="s">
        <v>364</v>
      </c>
      <c r="C16" s="11" t="s">
        <v>54</v>
      </c>
      <c r="D16" s="11" t="s">
        <v>2</v>
      </c>
      <c r="E16" s="10" t="s">
        <v>29</v>
      </c>
      <c r="F16" s="11">
        <v>75</v>
      </c>
      <c r="G16" s="10">
        <v>20</v>
      </c>
      <c r="H16" s="10" t="s">
        <v>29</v>
      </c>
      <c r="I16" s="10" t="s">
        <v>42</v>
      </c>
      <c r="J16" s="10"/>
      <c r="K16" s="11" t="s">
        <v>405</v>
      </c>
      <c r="L16" s="10">
        <v>0</v>
      </c>
      <c r="M16" s="12">
        <v>4</v>
      </c>
      <c r="N16" s="8"/>
      <c r="P16" s="6">
        <f t="shared" si="0"/>
        <v>20</v>
      </c>
      <c r="Q16" s="9" t="s">
        <v>396</v>
      </c>
      <c r="R16" s="9"/>
      <c r="T16" s="6">
        <f t="shared" si="1"/>
        <v>0</v>
      </c>
      <c r="X16" s="9" t="s">
        <v>396</v>
      </c>
    </row>
    <row r="17" spans="1:24" ht="17.399999999999999" customHeight="1" x14ac:dyDescent="0.25">
      <c r="A17" s="11" t="s">
        <v>458</v>
      </c>
      <c r="B17" s="11" t="s">
        <v>325</v>
      </c>
      <c r="C17" s="11" t="s">
        <v>54</v>
      </c>
      <c r="D17" s="11" t="s">
        <v>2</v>
      </c>
      <c r="E17" s="10" t="s">
        <v>29</v>
      </c>
      <c r="F17" s="11">
        <v>75</v>
      </c>
      <c r="G17" s="10">
        <v>20</v>
      </c>
      <c r="H17" s="10" t="s">
        <v>29</v>
      </c>
      <c r="I17" s="10" t="s">
        <v>190</v>
      </c>
      <c r="J17" s="10"/>
      <c r="K17" s="11" t="s">
        <v>29</v>
      </c>
      <c r="L17" s="10">
        <v>1</v>
      </c>
      <c r="M17" s="12">
        <v>4</v>
      </c>
      <c r="N17" s="8"/>
      <c r="P17" s="6">
        <f t="shared" si="0"/>
        <v>20</v>
      </c>
      <c r="Q17" s="9" t="s">
        <v>397</v>
      </c>
      <c r="R17" s="9"/>
      <c r="T17" s="6">
        <f t="shared" si="1"/>
        <v>1</v>
      </c>
      <c r="X17" s="9" t="s">
        <v>397</v>
      </c>
    </row>
    <row r="18" spans="1:24" ht="17.399999999999999" customHeight="1" x14ac:dyDescent="0.25">
      <c r="A18" s="11" t="s">
        <v>136</v>
      </c>
      <c r="B18" s="11" t="s">
        <v>35</v>
      </c>
      <c r="C18" s="11" t="s">
        <v>55</v>
      </c>
      <c r="D18" s="11" t="s">
        <v>2</v>
      </c>
      <c r="E18" s="10" t="s">
        <v>29</v>
      </c>
      <c r="F18" s="11">
        <v>45</v>
      </c>
      <c r="G18" s="10">
        <v>35</v>
      </c>
      <c r="H18" s="10" t="s">
        <v>29</v>
      </c>
      <c r="I18" s="10" t="s">
        <v>29</v>
      </c>
      <c r="J18" s="10"/>
      <c r="K18" s="11" t="s">
        <v>404</v>
      </c>
      <c r="L18" s="10">
        <v>0</v>
      </c>
      <c r="M18" s="12">
        <v>1</v>
      </c>
      <c r="N18" s="8"/>
      <c r="P18" s="6">
        <f t="shared" si="0"/>
        <v>35</v>
      </c>
      <c r="Q18" s="9" t="s">
        <v>395</v>
      </c>
      <c r="R18" s="9"/>
      <c r="T18" s="6">
        <f t="shared" si="1"/>
        <v>0</v>
      </c>
      <c r="X18" s="9" t="s">
        <v>395</v>
      </c>
    </row>
    <row r="19" spans="1:24" ht="17.399999999999999" customHeight="1" x14ac:dyDescent="0.25">
      <c r="A19" s="11" t="s">
        <v>138</v>
      </c>
      <c r="B19" s="11" t="s">
        <v>390</v>
      </c>
      <c r="C19" s="11" t="s">
        <v>55</v>
      </c>
      <c r="D19" s="11" t="s">
        <v>2</v>
      </c>
      <c r="E19" s="10" t="s">
        <v>29</v>
      </c>
      <c r="F19" s="11"/>
      <c r="G19" s="10">
        <v>35</v>
      </c>
      <c r="H19" s="10" t="s">
        <v>29</v>
      </c>
      <c r="I19" s="10" t="s">
        <v>40</v>
      </c>
      <c r="J19" s="10"/>
      <c r="K19" s="11" t="s">
        <v>405</v>
      </c>
      <c r="L19" s="10">
        <v>0</v>
      </c>
      <c r="M19" s="12">
        <v>1</v>
      </c>
      <c r="N19" s="8"/>
      <c r="P19" s="6">
        <f t="shared" si="0"/>
        <v>35</v>
      </c>
      <c r="Q19" s="9" t="s">
        <v>396</v>
      </c>
      <c r="R19" s="9"/>
      <c r="T19" s="6">
        <f t="shared" si="1"/>
        <v>0</v>
      </c>
      <c r="X19" s="9" t="s">
        <v>396</v>
      </c>
    </row>
    <row r="20" spans="1:24" ht="17.399999999999999" customHeight="1" x14ac:dyDescent="0.25">
      <c r="A20" s="11" t="s">
        <v>227</v>
      </c>
      <c r="B20" s="11" t="s">
        <v>41</v>
      </c>
      <c r="C20" s="11" t="s">
        <v>55</v>
      </c>
      <c r="D20" s="11" t="s">
        <v>2</v>
      </c>
      <c r="E20" s="10" t="s">
        <v>29</v>
      </c>
      <c r="F20" s="11"/>
      <c r="G20" s="10">
        <v>35</v>
      </c>
      <c r="H20" s="10" t="s">
        <v>29</v>
      </c>
      <c r="I20" s="10" t="s">
        <v>40</v>
      </c>
      <c r="J20" s="10"/>
      <c r="K20" s="11" t="s">
        <v>404</v>
      </c>
      <c r="L20" s="10">
        <v>0</v>
      </c>
      <c r="M20" s="12">
        <v>1</v>
      </c>
      <c r="N20" s="8"/>
      <c r="P20" s="6">
        <f t="shared" si="0"/>
        <v>35</v>
      </c>
      <c r="Q20" s="9" t="s">
        <v>395</v>
      </c>
      <c r="R20" s="9"/>
      <c r="T20" s="6">
        <f t="shared" si="1"/>
        <v>0</v>
      </c>
      <c r="X20" s="9" t="s">
        <v>395</v>
      </c>
    </row>
    <row r="21" spans="1:24" ht="17.399999999999999" customHeight="1" x14ac:dyDescent="0.25">
      <c r="A21" s="11" t="s">
        <v>228</v>
      </c>
      <c r="B21" s="11" t="s">
        <v>326</v>
      </c>
      <c r="C21" s="11" t="s">
        <v>55</v>
      </c>
      <c r="D21" s="11" t="s">
        <v>2</v>
      </c>
      <c r="E21" s="10" t="s">
        <v>29</v>
      </c>
      <c r="F21" s="11">
        <v>60</v>
      </c>
      <c r="G21" s="10">
        <v>35</v>
      </c>
      <c r="H21" s="10" t="s">
        <v>29</v>
      </c>
      <c r="I21" s="10" t="s">
        <v>42</v>
      </c>
      <c r="J21" s="10"/>
      <c r="K21" s="11" t="s">
        <v>29</v>
      </c>
      <c r="L21" s="10">
        <v>1</v>
      </c>
      <c r="M21" s="12">
        <v>2</v>
      </c>
      <c r="N21" s="8"/>
      <c r="P21" s="6">
        <f t="shared" si="0"/>
        <v>35</v>
      </c>
      <c r="Q21" s="9" t="s">
        <v>397</v>
      </c>
      <c r="R21" s="9"/>
      <c r="T21" s="6">
        <f t="shared" si="1"/>
        <v>1</v>
      </c>
      <c r="X21" s="9" t="s">
        <v>397</v>
      </c>
    </row>
    <row r="22" spans="1:24" ht="15.6" x14ac:dyDescent="0.25">
      <c r="A22" s="11" t="s">
        <v>229</v>
      </c>
      <c r="B22" s="11" t="s">
        <v>465</v>
      </c>
      <c r="C22" s="11" t="s">
        <v>55</v>
      </c>
      <c r="D22" s="11" t="s">
        <v>2</v>
      </c>
      <c r="E22" s="10" t="s">
        <v>29</v>
      </c>
      <c r="F22" s="11">
        <v>75</v>
      </c>
      <c r="G22" s="10">
        <v>35</v>
      </c>
      <c r="H22" s="10" t="s">
        <v>29</v>
      </c>
      <c r="I22" s="10" t="s">
        <v>42</v>
      </c>
      <c r="J22" s="10"/>
      <c r="K22" s="11" t="s">
        <v>404</v>
      </c>
      <c r="L22" s="10">
        <v>0</v>
      </c>
      <c r="M22" s="12">
        <v>2</v>
      </c>
      <c r="N22" s="8"/>
      <c r="P22" s="6">
        <f t="shared" si="0"/>
        <v>35</v>
      </c>
      <c r="Q22" s="9" t="s">
        <v>399</v>
      </c>
      <c r="R22" s="9"/>
      <c r="T22" s="6">
        <f t="shared" si="1"/>
        <v>0</v>
      </c>
      <c r="X22" s="9" t="s">
        <v>398</v>
      </c>
    </row>
    <row r="23" spans="1:24" ht="15.6" x14ac:dyDescent="0.25">
      <c r="A23" s="11" t="s">
        <v>143</v>
      </c>
      <c r="B23" s="11" t="s">
        <v>463</v>
      </c>
      <c r="C23" s="11" t="s">
        <v>55</v>
      </c>
      <c r="D23" s="11" t="s">
        <v>2</v>
      </c>
      <c r="E23" s="10" t="s">
        <v>29</v>
      </c>
      <c r="F23" s="11">
        <v>75</v>
      </c>
      <c r="G23" s="10">
        <v>35</v>
      </c>
      <c r="H23" s="10" t="s">
        <v>29</v>
      </c>
      <c r="I23" s="10" t="s">
        <v>40</v>
      </c>
      <c r="J23" s="10"/>
      <c r="K23" s="11" t="s">
        <v>404</v>
      </c>
      <c r="L23" s="10">
        <v>0</v>
      </c>
      <c r="M23" s="12">
        <v>2</v>
      </c>
      <c r="N23" s="8"/>
      <c r="P23" s="6">
        <f t="shared" si="0"/>
        <v>35</v>
      </c>
      <c r="Q23" s="9" t="s">
        <v>399</v>
      </c>
      <c r="R23" s="9"/>
      <c r="T23" s="6">
        <f t="shared" si="1"/>
        <v>0</v>
      </c>
      <c r="X23" s="9" t="s">
        <v>399</v>
      </c>
    </row>
    <row r="24" spans="1:24" ht="17.399999999999999" customHeight="1" x14ac:dyDescent="0.25">
      <c r="A24" s="11" t="s">
        <v>240</v>
      </c>
      <c r="B24" s="11" t="s">
        <v>466</v>
      </c>
      <c r="C24" s="11" t="s">
        <v>55</v>
      </c>
      <c r="D24" s="11" t="s">
        <v>2</v>
      </c>
      <c r="E24" s="10" t="s">
        <v>29</v>
      </c>
      <c r="F24" s="11">
        <v>45</v>
      </c>
      <c r="G24" s="10">
        <v>35</v>
      </c>
      <c r="H24" s="10" t="s">
        <v>29</v>
      </c>
      <c r="I24" s="10" t="s">
        <v>29</v>
      </c>
      <c r="J24" s="10"/>
      <c r="K24" s="11" t="s">
        <v>405</v>
      </c>
      <c r="L24" s="10">
        <v>0</v>
      </c>
      <c r="M24" s="12">
        <v>2</v>
      </c>
      <c r="N24" s="8"/>
      <c r="P24" s="6">
        <f t="shared" si="0"/>
        <v>35</v>
      </c>
      <c r="Q24" s="9" t="s">
        <v>396</v>
      </c>
      <c r="R24" s="9"/>
      <c r="T24" s="6">
        <f t="shared" si="1"/>
        <v>0</v>
      </c>
      <c r="X24" s="9" t="s">
        <v>395</v>
      </c>
    </row>
    <row r="25" spans="1:24" ht="31.2" x14ac:dyDescent="0.25">
      <c r="A25" s="11" t="s">
        <v>230</v>
      </c>
      <c r="B25" s="11" t="s">
        <v>467</v>
      </c>
      <c r="C25" s="11" t="s">
        <v>55</v>
      </c>
      <c r="D25" s="11" t="s">
        <v>2</v>
      </c>
      <c r="E25" s="10" t="s">
        <v>29</v>
      </c>
      <c r="F25" s="11"/>
      <c r="G25" s="10">
        <v>35</v>
      </c>
      <c r="H25" s="10" t="s">
        <v>29</v>
      </c>
      <c r="I25" s="10" t="s">
        <v>40</v>
      </c>
      <c r="J25" s="10"/>
      <c r="K25" s="11" t="s">
        <v>404</v>
      </c>
      <c r="L25" s="10">
        <v>0</v>
      </c>
      <c r="M25" s="12">
        <v>3</v>
      </c>
      <c r="N25" s="8"/>
      <c r="P25" s="6">
        <f t="shared" si="0"/>
        <v>35</v>
      </c>
      <c r="Q25" s="9" t="s">
        <v>395</v>
      </c>
      <c r="R25" s="9"/>
      <c r="T25" s="6">
        <f t="shared" si="1"/>
        <v>0</v>
      </c>
      <c r="X25" s="9" t="s">
        <v>396</v>
      </c>
    </row>
    <row r="26" spans="1:24" ht="15.6" x14ac:dyDescent="0.25">
      <c r="A26" s="11" t="s">
        <v>231</v>
      </c>
      <c r="B26" s="11" t="s">
        <v>468</v>
      </c>
      <c r="C26" s="11" t="s">
        <v>55</v>
      </c>
      <c r="D26" s="11" t="s">
        <v>2</v>
      </c>
      <c r="E26" s="10" t="s">
        <v>29</v>
      </c>
      <c r="F26" s="11"/>
      <c r="G26" s="10">
        <v>35</v>
      </c>
      <c r="H26" s="10" t="s">
        <v>29</v>
      </c>
      <c r="I26" s="10" t="s">
        <v>40</v>
      </c>
      <c r="J26" s="10"/>
      <c r="K26" s="11" t="s">
        <v>405</v>
      </c>
      <c r="L26" s="10">
        <v>0</v>
      </c>
      <c r="M26" s="12">
        <v>3</v>
      </c>
      <c r="N26" s="8"/>
      <c r="P26" s="6">
        <f t="shared" si="0"/>
        <v>35</v>
      </c>
      <c r="Q26" s="9" t="s">
        <v>396</v>
      </c>
      <c r="R26" s="9"/>
      <c r="T26" s="6">
        <f t="shared" si="1"/>
        <v>0</v>
      </c>
      <c r="X26" s="9" t="s">
        <v>30</v>
      </c>
    </row>
    <row r="27" spans="1:24" ht="15.6" x14ac:dyDescent="0.25">
      <c r="A27" s="11" t="s">
        <v>232</v>
      </c>
      <c r="B27" s="11" t="s">
        <v>469</v>
      </c>
      <c r="C27" s="11" t="s">
        <v>55</v>
      </c>
      <c r="D27" s="11" t="s">
        <v>2</v>
      </c>
      <c r="E27" s="10" t="s">
        <v>29</v>
      </c>
      <c r="F27" s="11"/>
      <c r="G27" s="10">
        <v>35</v>
      </c>
      <c r="H27" s="10" t="s">
        <v>29</v>
      </c>
      <c r="I27" s="10" t="s">
        <v>40</v>
      </c>
      <c r="J27" s="10"/>
      <c r="K27" s="11" t="s">
        <v>29</v>
      </c>
      <c r="L27" s="10">
        <v>1</v>
      </c>
      <c r="M27" s="12">
        <v>3</v>
      </c>
      <c r="N27" s="8"/>
      <c r="P27" s="6">
        <f t="shared" si="0"/>
        <v>35</v>
      </c>
      <c r="Q27" s="9" t="s">
        <v>30</v>
      </c>
      <c r="R27" s="9"/>
      <c r="T27" s="6">
        <f t="shared" si="1"/>
        <v>1</v>
      </c>
      <c r="X27" s="9" t="s">
        <v>396</v>
      </c>
    </row>
    <row r="28" spans="1:24" ht="15.6" x14ac:dyDescent="0.25">
      <c r="A28" s="11" t="s">
        <v>233</v>
      </c>
      <c r="B28" s="11" t="s">
        <v>327</v>
      </c>
      <c r="C28" s="11" t="s">
        <v>55</v>
      </c>
      <c r="D28" s="11" t="s">
        <v>2</v>
      </c>
      <c r="E28" s="10" t="s">
        <v>29</v>
      </c>
      <c r="F28" s="11"/>
      <c r="G28" s="10">
        <v>35</v>
      </c>
      <c r="H28" s="10" t="s">
        <v>29</v>
      </c>
      <c r="I28" s="10" t="s">
        <v>40</v>
      </c>
      <c r="J28" s="10"/>
      <c r="K28" s="11" t="s">
        <v>405</v>
      </c>
      <c r="L28" s="10">
        <v>0</v>
      </c>
      <c r="M28" s="12">
        <v>3</v>
      </c>
      <c r="N28" s="8"/>
      <c r="P28" s="6">
        <f t="shared" si="0"/>
        <v>35</v>
      </c>
      <c r="Q28" s="9" t="s">
        <v>396</v>
      </c>
      <c r="R28" s="9"/>
      <c r="T28" s="6">
        <f t="shared" si="1"/>
        <v>0</v>
      </c>
      <c r="X28" s="9" t="s">
        <v>396</v>
      </c>
    </row>
    <row r="29" spans="1:24" ht="15.6" x14ac:dyDescent="0.25">
      <c r="A29" s="11" t="s">
        <v>234</v>
      </c>
      <c r="B29" s="11" t="s">
        <v>328</v>
      </c>
      <c r="C29" s="11" t="s">
        <v>55</v>
      </c>
      <c r="D29" s="11" t="s">
        <v>2</v>
      </c>
      <c r="E29" s="10" t="s">
        <v>29</v>
      </c>
      <c r="F29" s="11"/>
      <c r="G29" s="10">
        <v>35</v>
      </c>
      <c r="H29" s="10" t="s">
        <v>29</v>
      </c>
      <c r="I29" s="10" t="s">
        <v>40</v>
      </c>
      <c r="J29" s="10"/>
      <c r="K29" s="11" t="s">
        <v>405</v>
      </c>
      <c r="L29" s="10">
        <v>0</v>
      </c>
      <c r="M29" s="12">
        <v>3</v>
      </c>
      <c r="N29" s="8"/>
      <c r="P29" s="6">
        <f t="shared" si="0"/>
        <v>35</v>
      </c>
      <c r="Q29" s="9" t="s">
        <v>396</v>
      </c>
      <c r="R29" s="9"/>
      <c r="T29" s="6">
        <f t="shared" si="1"/>
        <v>0</v>
      </c>
      <c r="X29" s="9"/>
    </row>
    <row r="30" spans="1:24" ht="15.6" x14ac:dyDescent="0.25">
      <c r="A30" s="11" t="s">
        <v>235</v>
      </c>
      <c r="B30" s="11" t="s">
        <v>322</v>
      </c>
      <c r="C30" s="11" t="s">
        <v>55</v>
      </c>
      <c r="D30" s="11" t="s">
        <v>2</v>
      </c>
      <c r="E30" s="10"/>
      <c r="F30" s="11">
        <v>360</v>
      </c>
      <c r="G30" s="10">
        <v>20</v>
      </c>
      <c r="H30" s="10"/>
      <c r="I30" s="10"/>
      <c r="J30" s="10"/>
      <c r="K30" s="11" t="s">
        <v>476</v>
      </c>
      <c r="L30" s="10">
        <v>0</v>
      </c>
      <c r="M30" s="12">
        <v>4</v>
      </c>
      <c r="N30" s="8"/>
      <c r="P30" s="6">
        <f t="shared" si="0"/>
        <v>20</v>
      </c>
      <c r="Q30" s="9"/>
      <c r="R30" s="9"/>
      <c r="T30" s="6">
        <f t="shared" si="1"/>
        <v>0</v>
      </c>
      <c r="X30" s="9" t="s">
        <v>396</v>
      </c>
    </row>
    <row r="31" spans="1:24" ht="15.6" x14ac:dyDescent="0.25">
      <c r="A31" s="11" t="s">
        <v>459</v>
      </c>
      <c r="B31" s="11" t="s">
        <v>329</v>
      </c>
      <c r="C31" s="11" t="s">
        <v>55</v>
      </c>
      <c r="D31" s="11" t="s">
        <v>2</v>
      </c>
      <c r="E31" s="10" t="s">
        <v>29</v>
      </c>
      <c r="F31" s="11">
        <v>45</v>
      </c>
      <c r="G31" s="10">
        <v>35</v>
      </c>
      <c r="H31" s="10" t="s">
        <v>29</v>
      </c>
      <c r="I31" s="10" t="s">
        <v>40</v>
      </c>
      <c r="J31" s="10"/>
      <c r="K31" s="11" t="s">
        <v>405</v>
      </c>
      <c r="L31" s="10">
        <v>0</v>
      </c>
      <c r="M31" s="12">
        <v>4</v>
      </c>
      <c r="N31" s="8"/>
      <c r="P31" s="6">
        <f t="shared" si="0"/>
        <v>35</v>
      </c>
      <c r="Q31" s="9" t="s">
        <v>396</v>
      </c>
      <c r="R31" s="9"/>
      <c r="T31" s="6">
        <f t="shared" si="1"/>
        <v>0</v>
      </c>
      <c r="X31" s="9" t="s">
        <v>396</v>
      </c>
    </row>
    <row r="32" spans="1:24" ht="15.6" x14ac:dyDescent="0.25">
      <c r="A32" s="11" t="s">
        <v>460</v>
      </c>
      <c r="B32" s="11" t="s">
        <v>330</v>
      </c>
      <c r="C32" s="11" t="s">
        <v>55</v>
      </c>
      <c r="D32" s="11" t="s">
        <v>2</v>
      </c>
      <c r="E32" s="10" t="s">
        <v>29</v>
      </c>
      <c r="F32" s="11">
        <v>75</v>
      </c>
      <c r="G32" s="10">
        <v>35</v>
      </c>
      <c r="H32" s="10" t="s">
        <v>29</v>
      </c>
      <c r="I32" s="10" t="s">
        <v>40</v>
      </c>
      <c r="J32" s="10"/>
      <c r="K32" s="11" t="s">
        <v>405</v>
      </c>
      <c r="L32" s="10">
        <v>0</v>
      </c>
      <c r="M32" s="12">
        <v>4</v>
      </c>
      <c r="N32" s="8"/>
      <c r="P32" s="6">
        <f t="shared" si="0"/>
        <v>35</v>
      </c>
      <c r="Q32" s="9" t="s">
        <v>396</v>
      </c>
      <c r="R32" s="9"/>
      <c r="T32" s="6">
        <f t="shared" si="1"/>
        <v>0</v>
      </c>
      <c r="X32" s="9" t="s">
        <v>396</v>
      </c>
    </row>
    <row r="33" spans="1:24" ht="15.6" x14ac:dyDescent="0.25">
      <c r="A33" s="11" t="s">
        <v>236</v>
      </c>
      <c r="B33" s="11" t="s">
        <v>331</v>
      </c>
      <c r="C33" s="11" t="s">
        <v>55</v>
      </c>
      <c r="D33" s="11" t="s">
        <v>2</v>
      </c>
      <c r="E33" s="10" t="s">
        <v>124</v>
      </c>
      <c r="F33" s="11">
        <v>75</v>
      </c>
      <c r="G33" s="10">
        <v>35</v>
      </c>
      <c r="H33" s="10" t="s">
        <v>29</v>
      </c>
      <c r="I33" s="10" t="s">
        <v>40</v>
      </c>
      <c r="J33" s="10"/>
      <c r="K33" s="11" t="s">
        <v>405</v>
      </c>
      <c r="L33" s="10">
        <v>0</v>
      </c>
      <c r="M33" s="12">
        <v>4</v>
      </c>
      <c r="N33" s="8"/>
      <c r="P33" s="6">
        <f t="shared" si="0"/>
        <v>35</v>
      </c>
      <c r="Q33" s="9" t="s">
        <v>396</v>
      </c>
      <c r="R33" s="9"/>
      <c r="T33" s="6">
        <f t="shared" si="1"/>
        <v>0</v>
      </c>
      <c r="X33" s="9"/>
    </row>
    <row r="34" spans="1:24" ht="15.6" x14ac:dyDescent="0.25">
      <c r="A34" s="11" t="s">
        <v>237</v>
      </c>
      <c r="B34" s="11" t="s">
        <v>323</v>
      </c>
      <c r="C34" s="11" t="s">
        <v>55</v>
      </c>
      <c r="D34" s="11" t="s">
        <v>2</v>
      </c>
      <c r="E34" s="10"/>
      <c r="F34" s="11">
        <v>270</v>
      </c>
      <c r="G34" s="10">
        <v>20</v>
      </c>
      <c r="H34" s="10"/>
      <c r="I34" s="10"/>
      <c r="J34" s="10"/>
      <c r="K34" s="11" t="s">
        <v>476</v>
      </c>
      <c r="L34" s="10">
        <v>0</v>
      </c>
      <c r="M34" s="12">
        <v>4</v>
      </c>
      <c r="N34" s="8"/>
      <c r="P34" s="6">
        <f t="shared" si="0"/>
        <v>20</v>
      </c>
      <c r="Q34" s="9"/>
      <c r="R34" s="9"/>
      <c r="T34" s="6">
        <f t="shared" si="1"/>
        <v>0</v>
      </c>
      <c r="X34" s="9"/>
    </row>
    <row r="35" spans="1:24" ht="15.6" customHeight="1" x14ac:dyDescent="0.25">
      <c r="A35" s="11" t="s">
        <v>136</v>
      </c>
      <c r="B35" s="11" t="s">
        <v>35</v>
      </c>
      <c r="C35" s="11" t="s">
        <v>56</v>
      </c>
      <c r="D35" s="11" t="s">
        <v>2</v>
      </c>
      <c r="E35" s="10" t="s">
        <v>29</v>
      </c>
      <c r="F35" s="11"/>
      <c r="G35" s="10">
        <v>35</v>
      </c>
      <c r="H35" s="10" t="s">
        <v>29</v>
      </c>
      <c r="I35" s="10" t="s">
        <v>29</v>
      </c>
      <c r="J35" s="10"/>
      <c r="K35" s="11" t="s">
        <v>476</v>
      </c>
      <c r="L35" s="10">
        <v>0</v>
      </c>
      <c r="M35" s="12">
        <v>1</v>
      </c>
      <c r="N35" s="8"/>
      <c r="P35" s="6">
        <f t="shared" si="0"/>
        <v>35</v>
      </c>
      <c r="Q35" s="9"/>
      <c r="R35" s="9"/>
      <c r="T35" s="6">
        <f t="shared" si="1"/>
        <v>0</v>
      </c>
      <c r="X35" s="9" t="s">
        <v>397</v>
      </c>
    </row>
    <row r="36" spans="1:24" ht="15.6" customHeight="1" x14ac:dyDescent="0.25">
      <c r="A36" s="11" t="s">
        <v>238</v>
      </c>
      <c r="B36" s="11" t="s">
        <v>325</v>
      </c>
      <c r="C36" s="11" t="s">
        <v>56</v>
      </c>
      <c r="D36" s="11" t="s">
        <v>2</v>
      </c>
      <c r="E36" s="10" t="s">
        <v>29</v>
      </c>
      <c r="F36" s="11"/>
      <c r="G36" s="10">
        <v>20</v>
      </c>
      <c r="H36" s="10" t="s">
        <v>29</v>
      </c>
      <c r="I36" s="10" t="s">
        <v>190</v>
      </c>
      <c r="J36" s="10"/>
      <c r="K36" s="11" t="s">
        <v>29</v>
      </c>
      <c r="L36" s="10">
        <v>1</v>
      </c>
      <c r="M36" s="12">
        <v>1</v>
      </c>
      <c r="N36" s="8"/>
      <c r="P36" s="6">
        <f t="shared" si="0"/>
        <v>20</v>
      </c>
      <c r="Q36" s="9" t="s">
        <v>397</v>
      </c>
      <c r="R36" s="9"/>
      <c r="T36" s="6">
        <f t="shared" si="1"/>
        <v>1</v>
      </c>
      <c r="X36" s="9" t="s">
        <v>397</v>
      </c>
    </row>
    <row r="37" spans="1:24" ht="15.6" customHeight="1" x14ac:dyDescent="0.25">
      <c r="A37" s="11" t="s">
        <v>239</v>
      </c>
      <c r="B37" s="11" t="s">
        <v>332</v>
      </c>
      <c r="C37" s="11" t="s">
        <v>56</v>
      </c>
      <c r="D37" s="11" t="s">
        <v>2</v>
      </c>
      <c r="E37" s="10" t="s">
        <v>29</v>
      </c>
      <c r="F37" s="11">
        <v>45</v>
      </c>
      <c r="G37" s="10">
        <v>20</v>
      </c>
      <c r="H37" s="10" t="s">
        <v>29</v>
      </c>
      <c r="I37" s="10" t="s">
        <v>37</v>
      </c>
      <c r="J37" s="10"/>
      <c r="K37" s="11" t="s">
        <v>29</v>
      </c>
      <c r="L37" s="10">
        <v>1</v>
      </c>
      <c r="M37" s="12">
        <v>2</v>
      </c>
      <c r="N37" s="8"/>
      <c r="P37" s="6">
        <f t="shared" si="0"/>
        <v>20</v>
      </c>
      <c r="Q37" s="9" t="s">
        <v>397</v>
      </c>
      <c r="R37" s="9"/>
      <c r="T37" s="6">
        <f t="shared" si="1"/>
        <v>1</v>
      </c>
      <c r="X37" s="9" t="s">
        <v>397</v>
      </c>
    </row>
    <row r="38" spans="1:24" ht="31.2" x14ac:dyDescent="0.25">
      <c r="A38" s="11" t="s">
        <v>240</v>
      </c>
      <c r="B38" s="11" t="s">
        <v>38</v>
      </c>
      <c r="C38" s="11" t="s">
        <v>56</v>
      </c>
      <c r="D38" s="11" t="s">
        <v>2</v>
      </c>
      <c r="E38" s="10" t="s">
        <v>29</v>
      </c>
      <c r="F38" s="11">
        <v>90</v>
      </c>
      <c r="G38" s="10">
        <v>35</v>
      </c>
      <c r="H38" s="10" t="s">
        <v>29</v>
      </c>
      <c r="I38" s="10" t="s">
        <v>37</v>
      </c>
      <c r="J38" s="10"/>
      <c r="K38" s="11" t="s">
        <v>29</v>
      </c>
      <c r="L38" s="10">
        <v>1</v>
      </c>
      <c r="M38" s="12">
        <v>2</v>
      </c>
      <c r="N38" s="8"/>
      <c r="P38" s="6">
        <f t="shared" si="0"/>
        <v>35</v>
      </c>
      <c r="Q38" s="9" t="s">
        <v>397</v>
      </c>
      <c r="R38" s="9"/>
      <c r="T38" s="6">
        <f t="shared" si="1"/>
        <v>1</v>
      </c>
      <c r="X38" s="9" t="s">
        <v>400</v>
      </c>
    </row>
    <row r="39" spans="1:24" ht="15.6" x14ac:dyDescent="0.25">
      <c r="A39" s="11" t="s">
        <v>241</v>
      </c>
      <c r="B39" s="11" t="s">
        <v>333</v>
      </c>
      <c r="C39" s="11" t="s">
        <v>56</v>
      </c>
      <c r="D39" s="11" t="s">
        <v>2</v>
      </c>
      <c r="E39" s="10" t="s">
        <v>29</v>
      </c>
      <c r="F39" s="11">
        <v>45</v>
      </c>
      <c r="G39" s="10">
        <v>35</v>
      </c>
      <c r="H39" s="10" t="s">
        <v>29</v>
      </c>
      <c r="I39" s="10" t="s">
        <v>190</v>
      </c>
      <c r="J39" s="10"/>
      <c r="K39" s="11" t="s">
        <v>477</v>
      </c>
      <c r="L39" s="10">
        <v>0</v>
      </c>
      <c r="M39" s="12">
        <v>2</v>
      </c>
      <c r="N39" s="8"/>
      <c r="P39" s="6">
        <f t="shared" si="0"/>
        <v>35</v>
      </c>
      <c r="Q39" s="9" t="s">
        <v>400</v>
      </c>
      <c r="R39" s="9"/>
      <c r="T39" s="6">
        <f t="shared" si="1"/>
        <v>0</v>
      </c>
      <c r="X39" s="9" t="s">
        <v>400</v>
      </c>
    </row>
    <row r="40" spans="1:24" ht="15.6" x14ac:dyDescent="0.25">
      <c r="A40" s="11" t="s">
        <v>242</v>
      </c>
      <c r="B40" s="11" t="s">
        <v>470</v>
      </c>
      <c r="C40" s="11" t="s">
        <v>56</v>
      </c>
      <c r="D40" s="11" t="s">
        <v>2</v>
      </c>
      <c r="E40" s="10" t="s">
        <v>29</v>
      </c>
      <c r="F40" s="11">
        <v>60</v>
      </c>
      <c r="G40" s="10">
        <v>35</v>
      </c>
      <c r="H40" s="10" t="s">
        <v>29</v>
      </c>
      <c r="I40" s="10" t="s">
        <v>190</v>
      </c>
      <c r="J40" s="10"/>
      <c r="K40" s="11" t="s">
        <v>477</v>
      </c>
      <c r="L40" s="10">
        <v>0</v>
      </c>
      <c r="M40" s="12">
        <v>2</v>
      </c>
      <c r="N40" s="8"/>
      <c r="P40" s="6">
        <f t="shared" si="0"/>
        <v>35</v>
      </c>
      <c r="Q40" s="9" t="s">
        <v>400</v>
      </c>
      <c r="R40" s="9"/>
      <c r="T40" s="6">
        <f t="shared" si="1"/>
        <v>0</v>
      </c>
      <c r="X40" s="9" t="s">
        <v>396</v>
      </c>
    </row>
    <row r="41" spans="1:24" ht="31.2" x14ac:dyDescent="0.25">
      <c r="A41" s="11" t="s">
        <v>240</v>
      </c>
      <c r="B41" s="11" t="s">
        <v>466</v>
      </c>
      <c r="C41" s="11" t="s">
        <v>56</v>
      </c>
      <c r="D41" s="11" t="s">
        <v>2</v>
      </c>
      <c r="E41" s="10" t="s">
        <v>29</v>
      </c>
      <c r="F41" s="11">
        <v>45</v>
      </c>
      <c r="G41" s="10">
        <v>35</v>
      </c>
      <c r="H41" s="10" t="s">
        <v>29</v>
      </c>
      <c r="I41" s="10" t="s">
        <v>29</v>
      </c>
      <c r="J41" s="10"/>
      <c r="K41" s="11" t="s">
        <v>405</v>
      </c>
      <c r="L41" s="10">
        <v>0</v>
      </c>
      <c r="M41" s="12">
        <v>2</v>
      </c>
      <c r="N41" s="8"/>
      <c r="P41" s="6">
        <f t="shared" si="0"/>
        <v>35</v>
      </c>
      <c r="Q41" s="9" t="s">
        <v>396</v>
      </c>
      <c r="R41" s="9"/>
      <c r="T41" s="6">
        <f t="shared" si="1"/>
        <v>0</v>
      </c>
      <c r="X41" s="9" t="s">
        <v>397</v>
      </c>
    </row>
    <row r="42" spans="1:24" ht="15.6" x14ac:dyDescent="0.25">
      <c r="A42" s="11" t="s">
        <v>243</v>
      </c>
      <c r="B42" s="11" t="s">
        <v>334</v>
      </c>
      <c r="C42" s="11" t="s">
        <v>56</v>
      </c>
      <c r="D42" s="11" t="s">
        <v>2</v>
      </c>
      <c r="E42" s="10" t="s">
        <v>29</v>
      </c>
      <c r="F42" s="11"/>
      <c r="G42" s="10">
        <v>20</v>
      </c>
      <c r="H42" s="10" t="s">
        <v>29</v>
      </c>
      <c r="I42" s="10" t="s">
        <v>37</v>
      </c>
      <c r="J42" s="10"/>
      <c r="K42" s="11" t="s">
        <v>405</v>
      </c>
      <c r="L42" s="10">
        <v>0</v>
      </c>
      <c r="M42" s="12">
        <v>3</v>
      </c>
      <c r="N42" s="8"/>
      <c r="P42" s="6">
        <f t="shared" si="0"/>
        <v>20</v>
      </c>
      <c r="Q42" s="9" t="s">
        <v>396</v>
      </c>
      <c r="R42" s="9"/>
      <c r="T42" s="6">
        <f t="shared" si="1"/>
        <v>0</v>
      </c>
      <c r="X42" s="9" t="s">
        <v>396</v>
      </c>
    </row>
    <row r="43" spans="1:24" ht="31.2" x14ac:dyDescent="0.25">
      <c r="A43" s="11" t="s">
        <v>244</v>
      </c>
      <c r="B43" s="11" t="s">
        <v>318</v>
      </c>
      <c r="C43" s="11" t="s">
        <v>56</v>
      </c>
      <c r="D43" s="11" t="s">
        <v>2</v>
      </c>
      <c r="E43" s="10" t="s">
        <v>29</v>
      </c>
      <c r="F43" s="11"/>
      <c r="G43" s="10">
        <v>35</v>
      </c>
      <c r="H43" s="10" t="s">
        <v>29</v>
      </c>
      <c r="I43" s="10" t="s">
        <v>37</v>
      </c>
      <c r="J43" s="10"/>
      <c r="K43" s="11" t="s">
        <v>29</v>
      </c>
      <c r="L43" s="10">
        <v>1</v>
      </c>
      <c r="M43" s="12">
        <v>3</v>
      </c>
      <c r="N43" s="8"/>
      <c r="P43" s="6">
        <f t="shared" si="0"/>
        <v>35</v>
      </c>
      <c r="Q43" s="9" t="s">
        <v>397</v>
      </c>
      <c r="R43" s="9"/>
      <c r="T43" s="6">
        <f t="shared" si="1"/>
        <v>1</v>
      </c>
      <c r="X43" s="9" t="s">
        <v>401</v>
      </c>
    </row>
    <row r="44" spans="1:24" ht="15.6" x14ac:dyDescent="0.25">
      <c r="A44" s="11" t="s">
        <v>245</v>
      </c>
      <c r="B44" s="11" t="s">
        <v>384</v>
      </c>
      <c r="C44" s="11" t="s">
        <v>56</v>
      </c>
      <c r="D44" s="11" t="s">
        <v>2</v>
      </c>
      <c r="E44" s="10" t="s">
        <v>29</v>
      </c>
      <c r="F44" s="11"/>
      <c r="G44" s="10">
        <v>35</v>
      </c>
      <c r="H44" s="10" t="s">
        <v>29</v>
      </c>
      <c r="I44" s="10" t="s">
        <v>190</v>
      </c>
      <c r="J44" s="10"/>
      <c r="K44" s="11" t="s">
        <v>405</v>
      </c>
      <c r="L44" s="10">
        <v>0</v>
      </c>
      <c r="M44" s="12">
        <v>3</v>
      </c>
      <c r="N44" s="8"/>
      <c r="P44" s="6">
        <f t="shared" si="0"/>
        <v>35</v>
      </c>
      <c r="Q44" s="9" t="s">
        <v>396</v>
      </c>
      <c r="R44" s="9"/>
      <c r="T44" s="6">
        <f t="shared" si="1"/>
        <v>0</v>
      </c>
      <c r="X44" s="9" t="s">
        <v>396</v>
      </c>
    </row>
    <row r="45" spans="1:24" ht="31.2" x14ac:dyDescent="0.25">
      <c r="A45" s="11" t="s">
        <v>246</v>
      </c>
      <c r="B45" s="11" t="s">
        <v>335</v>
      </c>
      <c r="C45" s="11" t="s">
        <v>56</v>
      </c>
      <c r="D45" s="11" t="s">
        <v>2</v>
      </c>
      <c r="E45" s="10" t="s">
        <v>29</v>
      </c>
      <c r="F45" s="11"/>
      <c r="G45" s="10">
        <v>35</v>
      </c>
      <c r="H45" s="10" t="s">
        <v>29</v>
      </c>
      <c r="I45" s="10" t="s">
        <v>190</v>
      </c>
      <c r="J45" s="10"/>
      <c r="K45" s="11" t="s">
        <v>404</v>
      </c>
      <c r="L45" s="10">
        <v>0</v>
      </c>
      <c r="M45" s="12">
        <v>3</v>
      </c>
      <c r="N45" s="8"/>
      <c r="P45" s="6">
        <f t="shared" si="0"/>
        <v>35</v>
      </c>
      <c r="Q45" s="9" t="s">
        <v>407</v>
      </c>
      <c r="R45" s="9"/>
      <c r="T45" s="6">
        <f t="shared" si="1"/>
        <v>0</v>
      </c>
      <c r="X45" s="9" t="s">
        <v>396</v>
      </c>
    </row>
    <row r="46" spans="1:24" ht="15.6" x14ac:dyDescent="0.25">
      <c r="A46" s="11" t="s">
        <v>247</v>
      </c>
      <c r="B46" s="11" t="s">
        <v>336</v>
      </c>
      <c r="C46" s="11" t="s">
        <v>56</v>
      </c>
      <c r="D46" s="11" t="s">
        <v>2</v>
      </c>
      <c r="E46" s="10" t="s">
        <v>29</v>
      </c>
      <c r="F46" s="11"/>
      <c r="G46" s="10">
        <v>20</v>
      </c>
      <c r="H46" s="10" t="s">
        <v>29</v>
      </c>
      <c r="I46" s="10" t="s">
        <v>37</v>
      </c>
      <c r="J46" s="10"/>
      <c r="K46" s="11" t="s">
        <v>405</v>
      </c>
      <c r="L46" s="10">
        <v>0</v>
      </c>
      <c r="M46" s="12">
        <v>3</v>
      </c>
      <c r="N46" s="8"/>
      <c r="P46" s="6">
        <f t="shared" si="0"/>
        <v>20</v>
      </c>
      <c r="Q46" s="9" t="s">
        <v>396</v>
      </c>
      <c r="R46" s="9"/>
      <c r="T46" s="6">
        <f t="shared" si="1"/>
        <v>0</v>
      </c>
      <c r="X46" s="9" t="s">
        <v>396</v>
      </c>
    </row>
    <row r="47" spans="1:24" ht="31.2" x14ac:dyDescent="0.25">
      <c r="A47" s="11" t="s">
        <v>248</v>
      </c>
      <c r="B47" s="11" t="s">
        <v>324</v>
      </c>
      <c r="C47" s="11" t="s">
        <v>56</v>
      </c>
      <c r="D47" s="11" t="s">
        <v>2</v>
      </c>
      <c r="E47" s="10" t="s">
        <v>29</v>
      </c>
      <c r="F47" s="11"/>
      <c r="G47" s="10">
        <v>20</v>
      </c>
      <c r="H47" s="10" t="s">
        <v>29</v>
      </c>
      <c r="I47" s="10" t="s">
        <v>37</v>
      </c>
      <c r="J47" s="10"/>
      <c r="K47" s="11" t="s">
        <v>405</v>
      </c>
      <c r="L47" s="10">
        <v>0</v>
      </c>
      <c r="M47" s="12">
        <v>3</v>
      </c>
      <c r="N47" s="8"/>
      <c r="P47" s="6">
        <f t="shared" si="0"/>
        <v>20</v>
      </c>
      <c r="Q47" s="9" t="s">
        <v>396</v>
      </c>
      <c r="R47" s="9"/>
      <c r="T47" s="6">
        <f t="shared" si="1"/>
        <v>0</v>
      </c>
      <c r="X47" s="9" t="s">
        <v>397</v>
      </c>
    </row>
    <row r="48" spans="1:24" ht="15.6" x14ac:dyDescent="0.25">
      <c r="A48" s="11" t="s">
        <v>461</v>
      </c>
      <c r="B48" s="11" t="s">
        <v>337</v>
      </c>
      <c r="C48" s="11" t="s">
        <v>56</v>
      </c>
      <c r="D48" s="11" t="s">
        <v>2</v>
      </c>
      <c r="E48" s="10" t="s">
        <v>29</v>
      </c>
      <c r="F48" s="11">
        <v>60</v>
      </c>
      <c r="G48" s="10">
        <v>35</v>
      </c>
      <c r="H48" s="10" t="s">
        <v>29</v>
      </c>
      <c r="I48" s="10" t="s">
        <v>37</v>
      </c>
      <c r="J48" s="10"/>
      <c r="K48" s="11" t="s">
        <v>405</v>
      </c>
      <c r="L48" s="10">
        <v>0</v>
      </c>
      <c r="M48" s="12">
        <v>4</v>
      </c>
      <c r="N48" s="8"/>
      <c r="P48" s="6">
        <f t="shared" si="0"/>
        <v>35</v>
      </c>
      <c r="Q48" s="9" t="s">
        <v>396</v>
      </c>
      <c r="R48" s="9"/>
      <c r="T48" s="6">
        <f t="shared" si="1"/>
        <v>0</v>
      </c>
      <c r="X48" s="9" t="s">
        <v>396</v>
      </c>
    </row>
    <row r="49" spans="1:24" ht="31.2" x14ac:dyDescent="0.25">
      <c r="A49" s="11" t="s">
        <v>249</v>
      </c>
      <c r="B49" s="11" t="s">
        <v>338</v>
      </c>
      <c r="C49" s="11" t="s">
        <v>56</v>
      </c>
      <c r="D49" s="11" t="s">
        <v>2</v>
      </c>
      <c r="E49" s="10" t="s">
        <v>29</v>
      </c>
      <c r="F49" s="11">
        <v>60</v>
      </c>
      <c r="G49" s="10">
        <v>35</v>
      </c>
      <c r="H49" s="10" t="s">
        <v>29</v>
      </c>
      <c r="I49" s="10" t="s">
        <v>37</v>
      </c>
      <c r="J49" s="10"/>
      <c r="K49" s="11" t="s">
        <v>29</v>
      </c>
      <c r="L49" s="10">
        <v>1</v>
      </c>
      <c r="M49" s="12">
        <v>4</v>
      </c>
      <c r="N49" s="8"/>
      <c r="P49" s="6">
        <f t="shared" si="0"/>
        <v>35</v>
      </c>
      <c r="Q49" s="9" t="s">
        <v>397</v>
      </c>
      <c r="R49" s="9"/>
      <c r="T49" s="6">
        <f t="shared" si="1"/>
        <v>1</v>
      </c>
      <c r="X49" s="9" t="s">
        <v>396</v>
      </c>
    </row>
    <row r="50" spans="1:24" ht="15.6" x14ac:dyDescent="0.25">
      <c r="A50" s="11" t="s">
        <v>250</v>
      </c>
      <c r="B50" s="11" t="s">
        <v>339</v>
      </c>
      <c r="C50" s="11" t="s">
        <v>56</v>
      </c>
      <c r="D50" s="11" t="s">
        <v>2</v>
      </c>
      <c r="E50" s="10" t="s">
        <v>29</v>
      </c>
      <c r="F50" s="11">
        <v>90</v>
      </c>
      <c r="G50" s="10">
        <v>20</v>
      </c>
      <c r="H50" s="10" t="s">
        <v>29</v>
      </c>
      <c r="I50" s="10" t="s">
        <v>37</v>
      </c>
      <c r="J50" s="10"/>
      <c r="K50" s="11" t="s">
        <v>405</v>
      </c>
      <c r="L50" s="10">
        <v>0</v>
      </c>
      <c r="M50" s="12">
        <v>4</v>
      </c>
      <c r="N50" s="8"/>
      <c r="P50" s="6">
        <f t="shared" si="0"/>
        <v>20</v>
      </c>
      <c r="Q50" s="9" t="s">
        <v>396</v>
      </c>
      <c r="R50" s="9"/>
      <c r="T50" s="6">
        <f t="shared" si="1"/>
        <v>0</v>
      </c>
      <c r="X50" s="9" t="s">
        <v>396</v>
      </c>
    </row>
    <row r="51" spans="1:24" ht="15.6" x14ac:dyDescent="0.25">
      <c r="A51" s="5" t="s">
        <v>481</v>
      </c>
      <c r="B51" s="11" t="s">
        <v>471</v>
      </c>
      <c r="C51" s="11" t="s">
        <v>56</v>
      </c>
      <c r="D51" s="11" t="s">
        <v>2</v>
      </c>
      <c r="E51" s="10" t="s">
        <v>29</v>
      </c>
      <c r="F51" s="11">
        <v>75</v>
      </c>
      <c r="G51" s="10">
        <v>20</v>
      </c>
      <c r="H51" s="10" t="s">
        <v>29</v>
      </c>
      <c r="I51" s="10" t="s">
        <v>37</v>
      </c>
      <c r="J51" s="10"/>
      <c r="K51" s="11" t="s">
        <v>405</v>
      </c>
      <c r="L51" s="10">
        <v>0</v>
      </c>
      <c r="M51" s="12">
        <v>4</v>
      </c>
      <c r="N51" s="8"/>
      <c r="P51" s="6">
        <f t="shared" si="0"/>
        <v>20</v>
      </c>
      <c r="Q51" s="9" t="s">
        <v>396</v>
      </c>
      <c r="R51" s="9"/>
      <c r="T51" s="6">
        <f t="shared" si="1"/>
        <v>0</v>
      </c>
      <c r="X51" s="9" t="s">
        <v>396</v>
      </c>
    </row>
    <row r="52" spans="1:24" ht="31.2" x14ac:dyDescent="0.25">
      <c r="A52" s="11" t="s">
        <v>251</v>
      </c>
      <c r="B52" s="11" t="s">
        <v>340</v>
      </c>
      <c r="C52" s="11" t="s">
        <v>56</v>
      </c>
      <c r="D52" s="11" t="s">
        <v>2</v>
      </c>
      <c r="E52" s="10" t="s">
        <v>29</v>
      </c>
      <c r="F52" s="11">
        <v>90</v>
      </c>
      <c r="G52" s="10">
        <v>20</v>
      </c>
      <c r="H52" s="10" t="s">
        <v>29</v>
      </c>
      <c r="I52" s="10" t="s">
        <v>37</v>
      </c>
      <c r="J52" s="10"/>
      <c r="K52" s="11" t="s">
        <v>405</v>
      </c>
      <c r="L52" s="10">
        <v>0</v>
      </c>
      <c r="M52" s="12">
        <v>4</v>
      </c>
      <c r="N52" s="8"/>
      <c r="P52" s="6">
        <f t="shared" si="0"/>
        <v>20</v>
      </c>
      <c r="Q52" s="9" t="s">
        <v>396</v>
      </c>
      <c r="R52" s="9"/>
      <c r="T52" s="6">
        <f t="shared" si="1"/>
        <v>0</v>
      </c>
      <c r="X52" s="9" t="s">
        <v>407</v>
      </c>
    </row>
    <row r="53" spans="1:24" ht="31.2" x14ac:dyDescent="0.25">
      <c r="A53" s="11" t="s">
        <v>252</v>
      </c>
      <c r="B53" s="11" t="s">
        <v>341</v>
      </c>
      <c r="C53" s="11" t="s">
        <v>56</v>
      </c>
      <c r="D53" s="11" t="s">
        <v>2</v>
      </c>
      <c r="E53" s="10" t="s">
        <v>29</v>
      </c>
      <c r="F53" s="11">
        <v>90</v>
      </c>
      <c r="G53" s="10">
        <v>20</v>
      </c>
      <c r="H53" s="10" t="s">
        <v>29</v>
      </c>
      <c r="I53" s="10" t="s">
        <v>37</v>
      </c>
      <c r="J53" s="10"/>
      <c r="K53" s="11" t="s">
        <v>405</v>
      </c>
      <c r="L53" s="10">
        <v>0</v>
      </c>
      <c r="M53" s="12">
        <v>4</v>
      </c>
      <c r="N53" s="8"/>
      <c r="P53" s="6">
        <f t="shared" si="0"/>
        <v>20</v>
      </c>
      <c r="Q53" s="9" t="s">
        <v>396</v>
      </c>
      <c r="R53" s="9"/>
      <c r="T53" s="6">
        <f t="shared" si="1"/>
        <v>0</v>
      </c>
      <c r="X53" s="9" t="s">
        <v>407</v>
      </c>
    </row>
    <row r="54" spans="1:24" ht="31.2" x14ac:dyDescent="0.25">
      <c r="A54" s="11" t="s">
        <v>253</v>
      </c>
      <c r="B54" s="11" t="s">
        <v>41</v>
      </c>
      <c r="C54" s="11" t="s">
        <v>2</v>
      </c>
      <c r="D54" s="11" t="s">
        <v>2</v>
      </c>
      <c r="E54" s="10" t="s">
        <v>29</v>
      </c>
      <c r="F54" s="11"/>
      <c r="G54" s="10">
        <v>35</v>
      </c>
      <c r="H54" s="10" t="s">
        <v>29</v>
      </c>
      <c r="I54" s="10" t="s">
        <v>42</v>
      </c>
      <c r="J54" s="10"/>
      <c r="K54" s="11" t="s">
        <v>404</v>
      </c>
      <c r="L54" s="10">
        <v>0</v>
      </c>
      <c r="M54" s="12">
        <v>1</v>
      </c>
      <c r="N54" s="8"/>
      <c r="P54" s="6">
        <f t="shared" si="0"/>
        <v>35</v>
      </c>
      <c r="Q54" s="9" t="s">
        <v>407</v>
      </c>
      <c r="R54" s="9"/>
      <c r="T54" s="6">
        <f t="shared" si="1"/>
        <v>0</v>
      </c>
      <c r="X54" s="9" t="s">
        <v>397</v>
      </c>
    </row>
    <row r="55" spans="1:24" ht="31.2" x14ac:dyDescent="0.25">
      <c r="A55" s="11" t="s">
        <v>254</v>
      </c>
      <c r="B55" s="11" t="s">
        <v>35</v>
      </c>
      <c r="C55" s="11" t="s">
        <v>2</v>
      </c>
      <c r="D55" s="11" t="s">
        <v>2</v>
      </c>
      <c r="E55" s="10" t="s">
        <v>29</v>
      </c>
      <c r="F55" s="11"/>
      <c r="G55" s="10">
        <v>35</v>
      </c>
      <c r="H55" s="10" t="s">
        <v>29</v>
      </c>
      <c r="I55" s="10" t="s">
        <v>42</v>
      </c>
      <c r="J55" s="10"/>
      <c r="K55" s="11" t="s">
        <v>404</v>
      </c>
      <c r="L55" s="10">
        <v>0</v>
      </c>
      <c r="M55" s="12">
        <v>1</v>
      </c>
      <c r="N55" s="8"/>
      <c r="P55" s="6">
        <f t="shared" si="0"/>
        <v>35</v>
      </c>
      <c r="Q55" s="9" t="s">
        <v>407</v>
      </c>
      <c r="R55" s="9"/>
      <c r="T55" s="6">
        <f t="shared" si="1"/>
        <v>0</v>
      </c>
      <c r="X55" s="9" t="s">
        <v>401</v>
      </c>
    </row>
    <row r="56" spans="1:24" ht="31.2" x14ac:dyDescent="0.25">
      <c r="A56" s="11" t="s">
        <v>255</v>
      </c>
      <c r="B56" s="11" t="s">
        <v>326</v>
      </c>
      <c r="C56" s="11" t="s">
        <v>2</v>
      </c>
      <c r="D56" s="11" t="s">
        <v>2</v>
      </c>
      <c r="E56" s="10" t="s">
        <v>29</v>
      </c>
      <c r="F56" s="11">
        <v>75</v>
      </c>
      <c r="G56" s="10">
        <v>35</v>
      </c>
      <c r="H56" s="10" t="s">
        <v>29</v>
      </c>
      <c r="I56" s="10" t="s">
        <v>40</v>
      </c>
      <c r="J56" s="10"/>
      <c r="K56" s="11" t="s">
        <v>29</v>
      </c>
      <c r="L56" s="10">
        <v>1</v>
      </c>
      <c r="M56" s="12">
        <v>2</v>
      </c>
      <c r="N56" s="8"/>
      <c r="P56" s="6">
        <f t="shared" si="0"/>
        <v>35</v>
      </c>
      <c r="Q56" s="9" t="s">
        <v>397</v>
      </c>
      <c r="R56" s="9"/>
      <c r="T56" s="6">
        <f t="shared" si="1"/>
        <v>1</v>
      </c>
      <c r="X56" s="9" t="s">
        <v>401</v>
      </c>
    </row>
    <row r="57" spans="1:24" ht="31.2" x14ac:dyDescent="0.25">
      <c r="A57" s="11" t="s">
        <v>256</v>
      </c>
      <c r="B57" s="11" t="s">
        <v>342</v>
      </c>
      <c r="C57" s="11" t="s">
        <v>2</v>
      </c>
      <c r="D57" s="11" t="s">
        <v>2</v>
      </c>
      <c r="E57" s="10" t="s">
        <v>29</v>
      </c>
      <c r="F57" s="11">
        <v>60</v>
      </c>
      <c r="G57" s="10">
        <v>35</v>
      </c>
      <c r="H57" s="10" t="s">
        <v>29</v>
      </c>
      <c r="I57" s="10" t="s">
        <v>40</v>
      </c>
      <c r="J57" s="10"/>
      <c r="K57" s="11" t="s">
        <v>404</v>
      </c>
      <c r="L57" s="10">
        <v>0</v>
      </c>
      <c r="M57" s="12">
        <v>2</v>
      </c>
      <c r="N57" s="8"/>
      <c r="P57" s="6">
        <f t="shared" si="0"/>
        <v>35</v>
      </c>
      <c r="Q57" s="9" t="s">
        <v>407</v>
      </c>
      <c r="R57" s="9"/>
      <c r="T57" s="6">
        <f t="shared" si="1"/>
        <v>0</v>
      </c>
      <c r="X57" s="9" t="s">
        <v>401</v>
      </c>
    </row>
    <row r="58" spans="1:24" ht="31.2" x14ac:dyDescent="0.25">
      <c r="A58" s="11" t="s">
        <v>257</v>
      </c>
      <c r="B58" s="11" t="s">
        <v>472</v>
      </c>
      <c r="C58" s="11" t="s">
        <v>2</v>
      </c>
      <c r="D58" s="11" t="s">
        <v>2</v>
      </c>
      <c r="E58" s="10" t="s">
        <v>29</v>
      </c>
      <c r="F58" s="11">
        <v>75</v>
      </c>
      <c r="G58" s="10">
        <v>35</v>
      </c>
      <c r="H58" s="10" t="s">
        <v>29</v>
      </c>
      <c r="I58" s="10" t="s">
        <v>40</v>
      </c>
      <c r="J58" s="10"/>
      <c r="K58" s="11" t="s">
        <v>404</v>
      </c>
      <c r="L58" s="10">
        <v>0</v>
      </c>
      <c r="M58" s="12">
        <v>2</v>
      </c>
      <c r="N58" s="8"/>
      <c r="P58" s="6">
        <f t="shared" si="0"/>
        <v>35</v>
      </c>
      <c r="Q58" s="9" t="s">
        <v>407</v>
      </c>
      <c r="R58" s="9"/>
      <c r="T58" s="6">
        <f t="shared" si="1"/>
        <v>0</v>
      </c>
      <c r="X58" s="9" t="s">
        <v>396</v>
      </c>
    </row>
    <row r="59" spans="1:24" ht="31.2" x14ac:dyDescent="0.25">
      <c r="A59" s="11" t="s">
        <v>258</v>
      </c>
      <c r="B59" s="11" t="s">
        <v>467</v>
      </c>
      <c r="C59" s="11" t="s">
        <v>2</v>
      </c>
      <c r="D59" s="11" t="s">
        <v>2</v>
      </c>
      <c r="E59" s="10" t="s">
        <v>29</v>
      </c>
      <c r="F59" s="11">
        <v>75</v>
      </c>
      <c r="G59" s="10">
        <v>35</v>
      </c>
      <c r="H59" s="10" t="s">
        <v>29</v>
      </c>
      <c r="I59" s="10" t="s">
        <v>40</v>
      </c>
      <c r="J59" s="10"/>
      <c r="K59" s="11" t="s">
        <v>404</v>
      </c>
      <c r="L59" s="10">
        <v>0</v>
      </c>
      <c r="M59" s="12">
        <v>2</v>
      </c>
      <c r="N59" s="8"/>
      <c r="P59" s="6">
        <f t="shared" si="0"/>
        <v>35</v>
      </c>
      <c r="Q59" s="9" t="s">
        <v>407</v>
      </c>
      <c r="R59" s="9"/>
      <c r="T59" s="6">
        <f t="shared" si="1"/>
        <v>0</v>
      </c>
      <c r="X59" s="9" t="s">
        <v>396</v>
      </c>
    </row>
    <row r="60" spans="1:24" ht="15.6" x14ac:dyDescent="0.25">
      <c r="A60" s="11" t="s">
        <v>259</v>
      </c>
      <c r="B60" s="11" t="s">
        <v>390</v>
      </c>
      <c r="C60" s="11" t="s">
        <v>2</v>
      </c>
      <c r="D60" s="11" t="s">
        <v>2</v>
      </c>
      <c r="E60" s="10" t="s">
        <v>29</v>
      </c>
      <c r="F60" s="11">
        <v>75</v>
      </c>
      <c r="G60" s="10">
        <v>35</v>
      </c>
      <c r="H60" s="10" t="s">
        <v>29</v>
      </c>
      <c r="I60" s="10" t="s">
        <v>42</v>
      </c>
      <c r="J60" s="10"/>
      <c r="K60" s="11" t="s">
        <v>405</v>
      </c>
      <c r="L60" s="10">
        <v>0</v>
      </c>
      <c r="M60" s="12">
        <v>2</v>
      </c>
      <c r="N60" s="8"/>
      <c r="P60" s="6">
        <f t="shared" si="0"/>
        <v>35</v>
      </c>
      <c r="Q60" s="9" t="s">
        <v>396</v>
      </c>
      <c r="R60" s="9"/>
      <c r="T60" s="6">
        <f t="shared" si="1"/>
        <v>0</v>
      </c>
      <c r="X60" s="9" t="s">
        <v>396</v>
      </c>
    </row>
    <row r="61" spans="1:24" ht="15.6" x14ac:dyDescent="0.25">
      <c r="A61" s="11" t="s">
        <v>260</v>
      </c>
      <c r="B61" s="11" t="s">
        <v>343</v>
      </c>
      <c r="C61" s="11" t="s">
        <v>2</v>
      </c>
      <c r="D61" s="11" t="s">
        <v>2</v>
      </c>
      <c r="E61" s="10" t="s">
        <v>29</v>
      </c>
      <c r="F61" s="11"/>
      <c r="G61" s="10">
        <v>35</v>
      </c>
      <c r="H61" s="10" t="s">
        <v>29</v>
      </c>
      <c r="I61" s="10" t="s">
        <v>40</v>
      </c>
      <c r="J61" s="10"/>
      <c r="K61" s="11" t="s">
        <v>405</v>
      </c>
      <c r="L61" s="10">
        <v>0</v>
      </c>
      <c r="M61" s="12">
        <v>3</v>
      </c>
      <c r="N61" s="8"/>
      <c r="P61" s="6">
        <f t="shared" si="0"/>
        <v>35</v>
      </c>
      <c r="Q61" s="9" t="s">
        <v>396</v>
      </c>
      <c r="R61" s="9"/>
      <c r="T61" s="6">
        <f t="shared" si="1"/>
        <v>0</v>
      </c>
      <c r="X61" s="9" t="s">
        <v>396</v>
      </c>
    </row>
    <row r="62" spans="1:24" ht="15.6" x14ac:dyDescent="0.25">
      <c r="A62" s="11" t="s">
        <v>261</v>
      </c>
      <c r="B62" s="11" t="s">
        <v>344</v>
      </c>
      <c r="C62" s="11" t="s">
        <v>2</v>
      </c>
      <c r="D62" s="11" t="s">
        <v>2</v>
      </c>
      <c r="E62" s="10" t="s">
        <v>29</v>
      </c>
      <c r="F62" s="11"/>
      <c r="G62" s="10">
        <v>35</v>
      </c>
      <c r="H62" s="10" t="s">
        <v>29</v>
      </c>
      <c r="I62" s="10" t="s">
        <v>40</v>
      </c>
      <c r="J62" s="10"/>
      <c r="K62" s="11" t="s">
        <v>405</v>
      </c>
      <c r="L62" s="10">
        <v>0</v>
      </c>
      <c r="M62" s="12">
        <v>3</v>
      </c>
      <c r="N62" s="8"/>
      <c r="P62" s="6">
        <f t="shared" si="0"/>
        <v>35</v>
      </c>
      <c r="Q62" s="9" t="s">
        <v>396</v>
      </c>
      <c r="R62" s="9"/>
      <c r="T62" s="6">
        <f t="shared" si="1"/>
        <v>0</v>
      </c>
      <c r="X62" s="9" t="s">
        <v>396</v>
      </c>
    </row>
    <row r="63" spans="1:24" ht="15.6" x14ac:dyDescent="0.25">
      <c r="A63" s="11" t="s">
        <v>262</v>
      </c>
      <c r="B63" s="11" t="s">
        <v>345</v>
      </c>
      <c r="C63" s="11" t="s">
        <v>2</v>
      </c>
      <c r="D63" s="11" t="s">
        <v>2</v>
      </c>
      <c r="E63" s="10" t="s">
        <v>29</v>
      </c>
      <c r="F63" s="11"/>
      <c r="G63" s="10">
        <v>35</v>
      </c>
      <c r="H63" s="10" t="s">
        <v>29</v>
      </c>
      <c r="I63" s="10" t="s">
        <v>40</v>
      </c>
      <c r="J63" s="10"/>
      <c r="K63" s="11" t="s">
        <v>405</v>
      </c>
      <c r="L63" s="10">
        <v>0</v>
      </c>
      <c r="M63" s="12">
        <v>3</v>
      </c>
      <c r="N63" s="8"/>
      <c r="P63" s="6">
        <f t="shared" si="0"/>
        <v>35</v>
      </c>
      <c r="Q63" s="9" t="s">
        <v>396</v>
      </c>
      <c r="R63" s="9"/>
      <c r="T63" s="6">
        <f t="shared" si="1"/>
        <v>0</v>
      </c>
      <c r="X63" s="9" t="s">
        <v>396</v>
      </c>
    </row>
    <row r="64" spans="1:24" ht="15.6" x14ac:dyDescent="0.25">
      <c r="A64" s="11" t="s">
        <v>263</v>
      </c>
      <c r="B64" s="11" t="s">
        <v>346</v>
      </c>
      <c r="C64" s="11" t="s">
        <v>2</v>
      </c>
      <c r="D64" s="11" t="s">
        <v>2</v>
      </c>
      <c r="E64" s="10" t="s">
        <v>29</v>
      </c>
      <c r="F64" s="11"/>
      <c r="G64" s="10">
        <v>35</v>
      </c>
      <c r="H64" s="10" t="s">
        <v>29</v>
      </c>
      <c r="I64" s="10" t="s">
        <v>42</v>
      </c>
      <c r="J64" s="10"/>
      <c r="K64" s="11" t="s">
        <v>405</v>
      </c>
      <c r="L64" s="10">
        <v>0</v>
      </c>
      <c r="M64" s="12">
        <v>3</v>
      </c>
      <c r="N64" s="8"/>
      <c r="P64" s="6">
        <f t="shared" si="0"/>
        <v>35</v>
      </c>
      <c r="Q64" s="9" t="s">
        <v>396</v>
      </c>
      <c r="R64" s="9"/>
      <c r="T64" s="6">
        <f t="shared" si="1"/>
        <v>0</v>
      </c>
      <c r="X64" s="9" t="s">
        <v>396</v>
      </c>
    </row>
    <row r="65" spans="1:24" ht="15.6" x14ac:dyDescent="0.25">
      <c r="A65" s="11" t="s">
        <v>264</v>
      </c>
      <c r="B65" s="11" t="s">
        <v>347</v>
      </c>
      <c r="C65" s="11" t="s">
        <v>2</v>
      </c>
      <c r="D65" s="11" t="s">
        <v>2</v>
      </c>
      <c r="E65" s="10" t="s">
        <v>29</v>
      </c>
      <c r="F65" s="11"/>
      <c r="G65" s="10">
        <v>35</v>
      </c>
      <c r="H65" s="10" t="s">
        <v>29</v>
      </c>
      <c r="I65" s="10" t="s">
        <v>40</v>
      </c>
      <c r="J65" s="10"/>
      <c r="K65" s="11" t="s">
        <v>405</v>
      </c>
      <c r="L65" s="10">
        <v>0</v>
      </c>
      <c r="M65" s="12">
        <v>3</v>
      </c>
      <c r="N65" s="8"/>
      <c r="P65" s="6">
        <f t="shared" si="0"/>
        <v>35</v>
      </c>
      <c r="Q65" s="9" t="s">
        <v>396</v>
      </c>
      <c r="R65" s="9"/>
      <c r="T65" s="6">
        <f t="shared" si="1"/>
        <v>0</v>
      </c>
      <c r="X65" s="9" t="s">
        <v>396</v>
      </c>
    </row>
    <row r="66" spans="1:24" ht="15.6" x14ac:dyDescent="0.25">
      <c r="A66" s="11" t="s">
        <v>265</v>
      </c>
      <c r="B66" s="11" t="s">
        <v>348</v>
      </c>
      <c r="C66" s="11" t="s">
        <v>2</v>
      </c>
      <c r="D66" s="11" t="s">
        <v>2</v>
      </c>
      <c r="E66" s="10" t="s">
        <v>29</v>
      </c>
      <c r="F66" s="11">
        <v>75</v>
      </c>
      <c r="G66" s="10">
        <v>35</v>
      </c>
      <c r="H66" s="10" t="s">
        <v>29</v>
      </c>
      <c r="I66" s="10" t="s">
        <v>42</v>
      </c>
      <c r="J66" s="10"/>
      <c r="K66" s="11" t="s">
        <v>405</v>
      </c>
      <c r="L66" s="10">
        <v>0</v>
      </c>
      <c r="M66" s="12">
        <v>4</v>
      </c>
      <c r="N66" s="8"/>
      <c r="P66" s="6">
        <f t="shared" si="0"/>
        <v>35</v>
      </c>
      <c r="Q66" s="9" t="s">
        <v>396</v>
      </c>
      <c r="R66" s="9"/>
      <c r="T66" s="6">
        <f t="shared" si="1"/>
        <v>0</v>
      </c>
      <c r="X66" s="9" t="s">
        <v>396</v>
      </c>
    </row>
    <row r="67" spans="1:24" ht="15.6" x14ac:dyDescent="0.25">
      <c r="A67" s="11" t="s">
        <v>266</v>
      </c>
      <c r="B67" s="11" t="s">
        <v>349</v>
      </c>
      <c r="C67" s="11" t="s">
        <v>2</v>
      </c>
      <c r="D67" s="11" t="s">
        <v>2</v>
      </c>
      <c r="E67" s="10" t="s">
        <v>29</v>
      </c>
      <c r="F67" s="11">
        <v>75</v>
      </c>
      <c r="G67" s="10">
        <v>35</v>
      </c>
      <c r="H67" s="10" t="s">
        <v>29</v>
      </c>
      <c r="I67" s="10" t="s">
        <v>40</v>
      </c>
      <c r="J67" s="10"/>
      <c r="K67" s="11" t="s">
        <v>405</v>
      </c>
      <c r="L67" s="10">
        <v>0</v>
      </c>
      <c r="M67" s="12">
        <v>4</v>
      </c>
      <c r="N67" s="8"/>
      <c r="P67" s="6">
        <f t="shared" ref="P67:P126" si="2">IF(LEFT(A67,2)="MH",35,20)</f>
        <v>35</v>
      </c>
      <c r="Q67" s="9" t="s">
        <v>396</v>
      </c>
      <c r="R67" s="9"/>
      <c r="T67" s="6">
        <f t="shared" ref="T67:T124" si="3">IF(K67="",0,VLOOKUP(K67,$V$2:$W$7,2,0))</f>
        <v>0</v>
      </c>
      <c r="X67" s="9" t="s">
        <v>396</v>
      </c>
    </row>
    <row r="68" spans="1:24" ht="15.6" x14ac:dyDescent="0.25">
      <c r="A68" s="17" t="s">
        <v>482</v>
      </c>
      <c r="B68" s="11" t="s">
        <v>350</v>
      </c>
      <c r="C68" s="11" t="s">
        <v>2</v>
      </c>
      <c r="D68" s="11" t="s">
        <v>2</v>
      </c>
      <c r="E68" s="10" t="s">
        <v>29</v>
      </c>
      <c r="F68" s="11">
        <v>75</v>
      </c>
      <c r="G68" s="10">
        <v>35</v>
      </c>
      <c r="H68" s="10" t="s">
        <v>29</v>
      </c>
      <c r="I68" s="10" t="s">
        <v>40</v>
      </c>
      <c r="J68" s="10"/>
      <c r="K68" s="11" t="s">
        <v>405</v>
      </c>
      <c r="L68" s="10">
        <v>0</v>
      </c>
      <c r="M68" s="12">
        <v>4</v>
      </c>
      <c r="N68" s="8"/>
      <c r="P68" s="6">
        <f t="shared" si="2"/>
        <v>35</v>
      </c>
      <c r="Q68" s="9" t="s">
        <v>396</v>
      </c>
      <c r="R68" s="9"/>
      <c r="T68" s="6">
        <f t="shared" si="3"/>
        <v>0</v>
      </c>
      <c r="X68" s="9" t="s">
        <v>396</v>
      </c>
    </row>
    <row r="69" spans="1:24" ht="15.6" x14ac:dyDescent="0.25">
      <c r="A69" s="11" t="s">
        <v>268</v>
      </c>
      <c r="B69" s="11" t="s">
        <v>351</v>
      </c>
      <c r="C69" s="11" t="s">
        <v>2</v>
      </c>
      <c r="D69" s="11" t="s">
        <v>2</v>
      </c>
      <c r="E69" s="10" t="s">
        <v>29</v>
      </c>
      <c r="F69" s="11">
        <v>75</v>
      </c>
      <c r="G69" s="10">
        <v>35</v>
      </c>
      <c r="H69" s="10" t="s">
        <v>124</v>
      </c>
      <c r="I69" s="10"/>
      <c r="J69" s="10"/>
      <c r="K69" s="11" t="s">
        <v>405</v>
      </c>
      <c r="L69" s="10">
        <v>0</v>
      </c>
      <c r="M69" s="12">
        <v>4</v>
      </c>
      <c r="N69" s="8"/>
      <c r="P69" s="6">
        <f t="shared" si="2"/>
        <v>35</v>
      </c>
      <c r="Q69" s="9" t="s">
        <v>396</v>
      </c>
      <c r="R69" s="9"/>
      <c r="T69" s="6">
        <f t="shared" si="3"/>
        <v>0</v>
      </c>
      <c r="X69" s="9"/>
    </row>
    <row r="70" spans="1:24" ht="15.6" x14ac:dyDescent="0.25">
      <c r="A70" s="11" t="s">
        <v>269</v>
      </c>
      <c r="B70" s="11" t="s">
        <v>352</v>
      </c>
      <c r="C70" s="11" t="s">
        <v>2</v>
      </c>
      <c r="D70" s="11" t="s">
        <v>2</v>
      </c>
      <c r="E70" s="10" t="s">
        <v>29</v>
      </c>
      <c r="F70" s="11">
        <v>60</v>
      </c>
      <c r="G70" s="10">
        <v>35</v>
      </c>
      <c r="H70" s="10" t="s">
        <v>29</v>
      </c>
      <c r="I70" s="10" t="s">
        <v>40</v>
      </c>
      <c r="J70" s="10"/>
      <c r="K70" s="11" t="s">
        <v>405</v>
      </c>
      <c r="L70" s="10">
        <v>0</v>
      </c>
      <c r="M70" s="12">
        <v>4</v>
      </c>
      <c r="N70" s="8"/>
      <c r="P70" s="6">
        <f t="shared" si="2"/>
        <v>35</v>
      </c>
      <c r="Q70" s="9" t="s">
        <v>396</v>
      </c>
      <c r="R70" s="9"/>
      <c r="T70" s="6">
        <f t="shared" si="3"/>
        <v>0</v>
      </c>
      <c r="X70" s="9" t="s">
        <v>396</v>
      </c>
    </row>
    <row r="71" spans="1:24" ht="15.6" x14ac:dyDescent="0.25">
      <c r="A71" s="11" t="s">
        <v>270</v>
      </c>
      <c r="B71" s="11" t="s">
        <v>322</v>
      </c>
      <c r="C71" s="11" t="s">
        <v>2</v>
      </c>
      <c r="D71" s="11" t="s">
        <v>2</v>
      </c>
      <c r="E71" s="10"/>
      <c r="F71" s="11"/>
      <c r="G71" s="10">
        <v>20</v>
      </c>
      <c r="H71" s="10" t="s">
        <v>29</v>
      </c>
      <c r="I71" s="10" t="s">
        <v>40</v>
      </c>
      <c r="J71" s="10"/>
      <c r="K71" s="11" t="s">
        <v>476</v>
      </c>
      <c r="L71" s="10">
        <v>0</v>
      </c>
      <c r="M71" s="12">
        <v>5</v>
      </c>
      <c r="N71" s="8"/>
      <c r="P71" s="6">
        <f t="shared" si="2"/>
        <v>20</v>
      </c>
      <c r="Q71" s="9"/>
      <c r="R71" s="9"/>
      <c r="T71" s="6">
        <f t="shared" si="3"/>
        <v>0</v>
      </c>
      <c r="X71" s="9" t="s">
        <v>396</v>
      </c>
    </row>
    <row r="72" spans="1:24" ht="15.6" x14ac:dyDescent="0.25">
      <c r="A72" s="11" t="s">
        <v>271</v>
      </c>
      <c r="B72" s="11" t="s">
        <v>353</v>
      </c>
      <c r="C72" s="11" t="s">
        <v>2</v>
      </c>
      <c r="D72" s="11" t="s">
        <v>2</v>
      </c>
      <c r="E72" s="10" t="s">
        <v>29</v>
      </c>
      <c r="F72" s="11"/>
      <c r="G72" s="10">
        <v>35</v>
      </c>
      <c r="H72" s="10" t="s">
        <v>124</v>
      </c>
      <c r="I72" s="10"/>
      <c r="J72" s="10"/>
      <c r="K72" s="11" t="s">
        <v>405</v>
      </c>
      <c r="L72" s="10">
        <v>0</v>
      </c>
      <c r="M72" s="12">
        <v>5</v>
      </c>
      <c r="N72" s="8"/>
      <c r="P72" s="6">
        <f t="shared" si="2"/>
        <v>35</v>
      </c>
      <c r="Q72" s="9" t="s">
        <v>396</v>
      </c>
      <c r="R72" s="9"/>
      <c r="T72" s="6">
        <f t="shared" si="3"/>
        <v>0</v>
      </c>
      <c r="X72" s="9"/>
    </row>
    <row r="73" spans="1:24" ht="15.6" customHeight="1" x14ac:dyDescent="0.25">
      <c r="A73" s="11" t="s">
        <v>272</v>
      </c>
      <c r="B73" s="11" t="s">
        <v>354</v>
      </c>
      <c r="C73" s="11" t="s">
        <v>2</v>
      </c>
      <c r="D73" s="11" t="s">
        <v>2</v>
      </c>
      <c r="E73" s="10" t="s">
        <v>29</v>
      </c>
      <c r="F73" s="11"/>
      <c r="G73" s="10">
        <v>35</v>
      </c>
      <c r="H73" s="10" t="s">
        <v>29</v>
      </c>
      <c r="I73" s="10" t="s">
        <v>42</v>
      </c>
      <c r="J73" s="10"/>
      <c r="K73" s="11" t="s">
        <v>405</v>
      </c>
      <c r="L73" s="10">
        <v>0</v>
      </c>
      <c r="M73" s="12">
        <v>5</v>
      </c>
      <c r="N73" s="8"/>
      <c r="P73" s="6">
        <f t="shared" si="2"/>
        <v>35</v>
      </c>
      <c r="Q73" s="9" t="s">
        <v>396</v>
      </c>
      <c r="R73" s="9"/>
      <c r="T73" s="6">
        <f t="shared" si="3"/>
        <v>0</v>
      </c>
      <c r="X73" s="9" t="s">
        <v>397</v>
      </c>
    </row>
    <row r="74" spans="1:24" ht="15.6" x14ac:dyDescent="0.25">
      <c r="A74" s="11" t="s">
        <v>273</v>
      </c>
      <c r="B74" s="11" t="s">
        <v>323</v>
      </c>
      <c r="C74" s="11" t="s">
        <v>2</v>
      </c>
      <c r="D74" s="11" t="s">
        <v>2</v>
      </c>
      <c r="E74" s="10"/>
      <c r="F74" s="11"/>
      <c r="G74" s="10">
        <v>20</v>
      </c>
      <c r="H74" s="10" t="s">
        <v>29</v>
      </c>
      <c r="I74" s="10" t="s">
        <v>29</v>
      </c>
      <c r="J74" s="10"/>
      <c r="K74" s="11" t="s">
        <v>476</v>
      </c>
      <c r="L74" s="10">
        <v>0</v>
      </c>
      <c r="M74" s="12">
        <v>5</v>
      </c>
      <c r="N74" s="8"/>
      <c r="P74" s="6">
        <f t="shared" si="2"/>
        <v>20</v>
      </c>
      <c r="Q74" s="9"/>
      <c r="R74" s="9"/>
      <c r="T74" s="6">
        <f t="shared" si="3"/>
        <v>0</v>
      </c>
      <c r="X74" s="9"/>
    </row>
    <row r="75" spans="1:24" ht="16.8" customHeight="1" x14ac:dyDescent="0.25">
      <c r="A75" s="11" t="s">
        <v>255</v>
      </c>
      <c r="B75" s="11" t="s">
        <v>326</v>
      </c>
      <c r="C75" s="11" t="s">
        <v>57</v>
      </c>
      <c r="D75" s="11" t="s">
        <v>2</v>
      </c>
      <c r="E75" s="10" t="s">
        <v>29</v>
      </c>
      <c r="F75" s="11"/>
      <c r="G75" s="10">
        <v>35</v>
      </c>
      <c r="H75" s="10" t="s">
        <v>29</v>
      </c>
      <c r="I75" s="10" t="s">
        <v>40</v>
      </c>
      <c r="J75" s="10"/>
      <c r="K75" s="11" t="s">
        <v>29</v>
      </c>
      <c r="L75" s="10">
        <v>1</v>
      </c>
      <c r="M75" s="12">
        <v>1</v>
      </c>
      <c r="N75" s="8"/>
      <c r="P75" s="6">
        <f t="shared" si="2"/>
        <v>35</v>
      </c>
      <c r="Q75" s="9" t="s">
        <v>397</v>
      </c>
      <c r="R75" s="9"/>
      <c r="T75" s="6">
        <f t="shared" si="3"/>
        <v>1</v>
      </c>
      <c r="X75" s="9" t="s">
        <v>401</v>
      </c>
    </row>
    <row r="76" spans="1:24" ht="31.2" x14ac:dyDescent="0.25">
      <c r="A76" s="11" t="s">
        <v>254</v>
      </c>
      <c r="B76" s="11" t="s">
        <v>35</v>
      </c>
      <c r="C76" s="11" t="s">
        <v>57</v>
      </c>
      <c r="D76" s="11" t="s">
        <v>2</v>
      </c>
      <c r="E76" s="10" t="s">
        <v>29</v>
      </c>
      <c r="F76" s="11"/>
      <c r="G76" s="10">
        <v>35</v>
      </c>
      <c r="H76" s="10" t="s">
        <v>29</v>
      </c>
      <c r="I76" s="10" t="s">
        <v>42</v>
      </c>
      <c r="J76" s="10"/>
      <c r="K76" s="11" t="s">
        <v>404</v>
      </c>
      <c r="L76" s="10">
        <v>0</v>
      </c>
      <c r="M76" s="12">
        <v>1</v>
      </c>
      <c r="N76" s="8"/>
      <c r="P76" s="6">
        <f t="shared" si="2"/>
        <v>35</v>
      </c>
      <c r="Q76" s="9" t="s">
        <v>407</v>
      </c>
      <c r="R76" s="9"/>
      <c r="T76" s="6">
        <f t="shared" si="3"/>
        <v>0</v>
      </c>
      <c r="X76" s="9" t="s">
        <v>402</v>
      </c>
    </row>
    <row r="77" spans="1:24" ht="31.2" x14ac:dyDescent="0.25">
      <c r="A77" s="11" t="s">
        <v>253</v>
      </c>
      <c r="B77" s="11" t="s">
        <v>41</v>
      </c>
      <c r="C77" s="11" t="s">
        <v>57</v>
      </c>
      <c r="D77" s="11" t="s">
        <v>2</v>
      </c>
      <c r="E77" s="10" t="s">
        <v>29</v>
      </c>
      <c r="F77" s="11">
        <v>75</v>
      </c>
      <c r="G77" s="10">
        <v>35</v>
      </c>
      <c r="H77" s="10" t="s">
        <v>29</v>
      </c>
      <c r="I77" s="10" t="s">
        <v>42</v>
      </c>
      <c r="J77" s="10"/>
      <c r="K77" s="11" t="s">
        <v>404</v>
      </c>
      <c r="L77" s="10">
        <v>0</v>
      </c>
      <c r="M77" s="12">
        <v>2</v>
      </c>
      <c r="N77" s="8"/>
      <c r="P77" s="6">
        <f t="shared" si="2"/>
        <v>35</v>
      </c>
      <c r="Q77" s="9" t="s">
        <v>407</v>
      </c>
      <c r="R77" s="9"/>
      <c r="T77" s="6">
        <f t="shared" si="3"/>
        <v>0</v>
      </c>
      <c r="X77" s="9" t="s">
        <v>403</v>
      </c>
    </row>
    <row r="78" spans="1:24" ht="15.6" x14ac:dyDescent="0.25">
      <c r="A78" s="11" t="s">
        <v>274</v>
      </c>
      <c r="B78" s="11" t="s">
        <v>355</v>
      </c>
      <c r="C78" s="11" t="s">
        <v>57</v>
      </c>
      <c r="D78" s="11" t="s">
        <v>2</v>
      </c>
      <c r="E78" s="10" t="s">
        <v>29</v>
      </c>
      <c r="F78" s="11">
        <v>75</v>
      </c>
      <c r="G78" s="10">
        <v>35</v>
      </c>
      <c r="H78" s="10" t="s">
        <v>29</v>
      </c>
      <c r="I78" s="10" t="s">
        <v>40</v>
      </c>
      <c r="J78" s="10"/>
      <c r="K78" s="11" t="s">
        <v>402</v>
      </c>
      <c r="L78" s="10">
        <v>1</v>
      </c>
      <c r="M78" s="12">
        <v>2</v>
      </c>
      <c r="N78" s="8"/>
      <c r="P78" s="6">
        <f t="shared" si="2"/>
        <v>35</v>
      </c>
      <c r="Q78" s="9" t="s">
        <v>402</v>
      </c>
      <c r="R78" s="9"/>
      <c r="T78" s="6">
        <f t="shared" si="3"/>
        <v>1</v>
      </c>
      <c r="X78" s="9" t="s">
        <v>396</v>
      </c>
    </row>
    <row r="79" spans="1:24" ht="15.6" x14ac:dyDescent="0.25">
      <c r="A79" s="11" t="s">
        <v>275</v>
      </c>
      <c r="B79" s="11" t="s">
        <v>356</v>
      </c>
      <c r="C79" s="11" t="s">
        <v>57</v>
      </c>
      <c r="D79" s="11" t="s">
        <v>2</v>
      </c>
      <c r="E79" s="10" t="s">
        <v>29</v>
      </c>
      <c r="F79" s="11">
        <v>75</v>
      </c>
      <c r="G79" s="10">
        <v>35</v>
      </c>
      <c r="H79" s="10" t="s">
        <v>29</v>
      </c>
      <c r="I79" s="10" t="s">
        <v>42</v>
      </c>
      <c r="J79" s="10"/>
      <c r="K79" s="11" t="s">
        <v>402</v>
      </c>
      <c r="L79" s="10">
        <v>1</v>
      </c>
      <c r="M79" s="12">
        <v>2</v>
      </c>
      <c r="N79" s="8"/>
      <c r="P79" s="6">
        <f t="shared" si="2"/>
        <v>35</v>
      </c>
      <c r="Q79" s="9" t="s">
        <v>402</v>
      </c>
      <c r="R79" s="9"/>
      <c r="T79" s="6">
        <f t="shared" si="3"/>
        <v>1</v>
      </c>
      <c r="X79" s="9" t="s">
        <v>396</v>
      </c>
    </row>
    <row r="80" spans="1:24" ht="15.6" x14ac:dyDescent="0.25">
      <c r="A80" s="11" t="s">
        <v>259</v>
      </c>
      <c r="B80" s="11" t="s">
        <v>357</v>
      </c>
      <c r="C80" s="11" t="s">
        <v>57</v>
      </c>
      <c r="D80" s="11" t="s">
        <v>2</v>
      </c>
      <c r="E80" s="10" t="s">
        <v>29</v>
      </c>
      <c r="F80" s="11">
        <v>75</v>
      </c>
      <c r="G80" s="10">
        <v>35</v>
      </c>
      <c r="H80" s="10" t="s">
        <v>29</v>
      </c>
      <c r="I80" s="10" t="s">
        <v>42</v>
      </c>
      <c r="J80" s="10"/>
      <c r="K80" s="11" t="s">
        <v>405</v>
      </c>
      <c r="L80" s="10">
        <v>0</v>
      </c>
      <c r="M80" s="12">
        <v>2</v>
      </c>
      <c r="N80" s="8"/>
      <c r="P80" s="6">
        <f t="shared" si="2"/>
        <v>35</v>
      </c>
      <c r="Q80" s="9" t="s">
        <v>396</v>
      </c>
      <c r="R80" s="9"/>
      <c r="T80" s="6">
        <f t="shared" si="3"/>
        <v>0</v>
      </c>
      <c r="X80" s="9" t="s">
        <v>396</v>
      </c>
    </row>
    <row r="81" spans="1:24" ht="15.6" x14ac:dyDescent="0.25">
      <c r="A81" s="11" t="s">
        <v>276</v>
      </c>
      <c r="B81" s="11" t="s">
        <v>358</v>
      </c>
      <c r="C81" s="11" t="s">
        <v>57</v>
      </c>
      <c r="D81" s="11" t="s">
        <v>2</v>
      </c>
      <c r="E81" s="10" t="s">
        <v>29</v>
      </c>
      <c r="F81" s="11"/>
      <c r="G81" s="10">
        <v>35</v>
      </c>
      <c r="H81" s="10" t="s">
        <v>29</v>
      </c>
      <c r="I81" s="10" t="s">
        <v>42</v>
      </c>
      <c r="J81" s="10"/>
      <c r="K81" s="11" t="s">
        <v>405</v>
      </c>
      <c r="L81" s="10">
        <v>0</v>
      </c>
      <c r="M81" s="12">
        <v>3</v>
      </c>
      <c r="N81" s="8"/>
      <c r="P81" s="6">
        <f t="shared" si="2"/>
        <v>35</v>
      </c>
      <c r="Q81" s="9" t="s">
        <v>396</v>
      </c>
      <c r="R81" s="9"/>
      <c r="T81" s="6">
        <f t="shared" si="3"/>
        <v>0</v>
      </c>
      <c r="X81" s="9" t="s">
        <v>396</v>
      </c>
    </row>
    <row r="82" spans="1:24" ht="15.6" x14ac:dyDescent="0.25">
      <c r="A82" s="11" t="s">
        <v>277</v>
      </c>
      <c r="B82" s="11" t="s">
        <v>359</v>
      </c>
      <c r="C82" s="11" t="s">
        <v>57</v>
      </c>
      <c r="D82" s="11" t="s">
        <v>2</v>
      </c>
      <c r="E82" s="10" t="s">
        <v>29</v>
      </c>
      <c r="F82" s="11"/>
      <c r="G82" s="10">
        <v>35</v>
      </c>
      <c r="H82" s="10" t="s">
        <v>29</v>
      </c>
      <c r="I82" s="10" t="s">
        <v>42</v>
      </c>
      <c r="J82" s="10"/>
      <c r="K82" s="11" t="s">
        <v>405</v>
      </c>
      <c r="L82" s="10">
        <v>0</v>
      </c>
      <c r="M82" s="12">
        <v>3</v>
      </c>
      <c r="N82" s="8"/>
      <c r="P82" s="6">
        <f t="shared" si="2"/>
        <v>35</v>
      </c>
      <c r="Q82" s="9" t="s">
        <v>396</v>
      </c>
      <c r="R82" s="9"/>
      <c r="T82" s="6">
        <f t="shared" si="3"/>
        <v>0</v>
      </c>
      <c r="X82" s="9" t="s">
        <v>396</v>
      </c>
    </row>
    <row r="83" spans="1:24" ht="15.6" x14ac:dyDescent="0.25">
      <c r="A83" s="11" t="s">
        <v>278</v>
      </c>
      <c r="B83" s="11" t="s">
        <v>318</v>
      </c>
      <c r="C83" s="11" t="s">
        <v>57</v>
      </c>
      <c r="D83" s="11" t="s">
        <v>2</v>
      </c>
      <c r="E83" s="10" t="s">
        <v>29</v>
      </c>
      <c r="F83" s="11"/>
      <c r="G83" s="10">
        <v>35</v>
      </c>
      <c r="H83" s="10" t="s">
        <v>29</v>
      </c>
      <c r="I83" s="10" t="s">
        <v>42</v>
      </c>
      <c r="J83" s="10"/>
      <c r="K83" s="11" t="s">
        <v>405</v>
      </c>
      <c r="L83" s="10">
        <v>0</v>
      </c>
      <c r="M83" s="12">
        <v>3</v>
      </c>
      <c r="N83" s="8"/>
      <c r="P83" s="6">
        <f t="shared" si="2"/>
        <v>35</v>
      </c>
      <c r="Q83" s="9" t="s">
        <v>396</v>
      </c>
      <c r="R83" s="9"/>
      <c r="T83" s="6">
        <f t="shared" si="3"/>
        <v>0</v>
      </c>
      <c r="X83" s="9" t="s">
        <v>396</v>
      </c>
    </row>
    <row r="84" spans="1:24" ht="15.6" x14ac:dyDescent="0.25">
      <c r="A84" s="11" t="s">
        <v>279</v>
      </c>
      <c r="B84" s="11" t="s">
        <v>360</v>
      </c>
      <c r="C84" s="11" t="s">
        <v>57</v>
      </c>
      <c r="D84" s="11" t="s">
        <v>2</v>
      </c>
      <c r="E84" s="10" t="s">
        <v>29</v>
      </c>
      <c r="F84" s="11"/>
      <c r="G84" s="10">
        <v>35</v>
      </c>
      <c r="H84" s="10" t="s">
        <v>29</v>
      </c>
      <c r="I84" s="10" t="s">
        <v>42</v>
      </c>
      <c r="J84" s="10"/>
      <c r="K84" s="11" t="s">
        <v>405</v>
      </c>
      <c r="L84" s="10">
        <v>0</v>
      </c>
      <c r="M84" s="12">
        <v>3</v>
      </c>
      <c r="N84" s="8"/>
      <c r="P84" s="6">
        <f t="shared" si="2"/>
        <v>35</v>
      </c>
      <c r="Q84" s="9" t="s">
        <v>396</v>
      </c>
      <c r="R84" s="9"/>
      <c r="T84" s="6">
        <f t="shared" si="3"/>
        <v>0</v>
      </c>
      <c r="X84" s="9" t="s">
        <v>396</v>
      </c>
    </row>
    <row r="85" spans="1:24" ht="15.6" x14ac:dyDescent="0.25">
      <c r="A85" s="11" t="s">
        <v>280</v>
      </c>
      <c r="B85" s="11" t="s">
        <v>361</v>
      </c>
      <c r="C85" s="11" t="s">
        <v>57</v>
      </c>
      <c r="D85" s="11" t="s">
        <v>2</v>
      </c>
      <c r="E85" s="10" t="s">
        <v>29</v>
      </c>
      <c r="F85" s="11"/>
      <c r="G85" s="10">
        <v>35</v>
      </c>
      <c r="H85" s="10" t="s">
        <v>29</v>
      </c>
      <c r="I85" s="10" t="s">
        <v>42</v>
      </c>
      <c r="J85" s="10"/>
      <c r="K85" s="11" t="s">
        <v>405</v>
      </c>
      <c r="L85" s="10">
        <v>0</v>
      </c>
      <c r="M85" s="12">
        <v>3</v>
      </c>
      <c r="N85" s="8"/>
      <c r="P85" s="6">
        <f t="shared" si="2"/>
        <v>35</v>
      </c>
      <c r="Q85" s="9" t="s">
        <v>396</v>
      </c>
      <c r="R85" s="9"/>
      <c r="T85" s="6">
        <f t="shared" si="3"/>
        <v>0</v>
      </c>
      <c r="X85" s="9" t="s">
        <v>396</v>
      </c>
    </row>
    <row r="86" spans="1:24" ht="15.6" x14ac:dyDescent="0.25">
      <c r="A86" s="11" t="s">
        <v>281</v>
      </c>
      <c r="B86" s="11" t="s">
        <v>362</v>
      </c>
      <c r="C86" s="11" t="s">
        <v>57</v>
      </c>
      <c r="D86" s="11" t="s">
        <v>2</v>
      </c>
      <c r="E86" s="10" t="s">
        <v>29</v>
      </c>
      <c r="F86" s="11">
        <v>90</v>
      </c>
      <c r="G86" s="10">
        <v>35</v>
      </c>
      <c r="H86" s="10" t="s">
        <v>29</v>
      </c>
      <c r="I86" s="10" t="s">
        <v>42</v>
      </c>
      <c r="J86" s="10"/>
      <c r="K86" s="11" t="s">
        <v>405</v>
      </c>
      <c r="L86" s="10">
        <v>0</v>
      </c>
      <c r="M86" s="12">
        <v>4</v>
      </c>
      <c r="N86" s="8"/>
      <c r="P86" s="6">
        <f t="shared" si="2"/>
        <v>35</v>
      </c>
      <c r="Q86" s="9" t="s">
        <v>396</v>
      </c>
      <c r="R86" s="9"/>
      <c r="T86" s="6">
        <f t="shared" si="3"/>
        <v>0</v>
      </c>
      <c r="X86" s="9" t="s">
        <v>396</v>
      </c>
    </row>
    <row r="87" spans="1:24" ht="15.6" x14ac:dyDescent="0.25">
      <c r="A87" s="11" t="s">
        <v>282</v>
      </c>
      <c r="B87" s="11" t="s">
        <v>363</v>
      </c>
      <c r="C87" s="11" t="s">
        <v>57</v>
      </c>
      <c r="D87" s="11" t="s">
        <v>2</v>
      </c>
      <c r="E87" s="10" t="s">
        <v>29</v>
      </c>
      <c r="F87" s="11">
        <v>60</v>
      </c>
      <c r="G87" s="10">
        <v>35</v>
      </c>
      <c r="H87" s="10" t="s">
        <v>29</v>
      </c>
      <c r="I87" s="10" t="s">
        <v>42</v>
      </c>
      <c r="J87" s="10"/>
      <c r="K87" s="11" t="s">
        <v>405</v>
      </c>
      <c r="L87" s="10">
        <v>0</v>
      </c>
      <c r="M87" s="12">
        <v>4</v>
      </c>
      <c r="N87" s="8"/>
      <c r="P87" s="6">
        <f t="shared" si="2"/>
        <v>35</v>
      </c>
      <c r="Q87" s="9" t="s">
        <v>396</v>
      </c>
      <c r="R87" s="9"/>
      <c r="T87" s="6">
        <f t="shared" si="3"/>
        <v>0</v>
      </c>
      <c r="X87" s="9" t="s">
        <v>396</v>
      </c>
    </row>
    <row r="88" spans="1:24" ht="15.6" x14ac:dyDescent="0.25">
      <c r="A88" s="11" t="s">
        <v>283</v>
      </c>
      <c r="B88" s="11" t="s">
        <v>364</v>
      </c>
      <c r="C88" s="11" t="s">
        <v>57</v>
      </c>
      <c r="D88" s="11" t="s">
        <v>2</v>
      </c>
      <c r="E88" s="10" t="s">
        <v>29</v>
      </c>
      <c r="F88" s="11">
        <v>75</v>
      </c>
      <c r="G88" s="10">
        <v>35</v>
      </c>
      <c r="H88" s="10" t="s">
        <v>29</v>
      </c>
      <c r="I88" s="10" t="s">
        <v>42</v>
      </c>
      <c r="J88" s="10"/>
      <c r="K88" s="11" t="s">
        <v>405</v>
      </c>
      <c r="L88" s="10">
        <v>0</v>
      </c>
      <c r="M88" s="12">
        <v>4</v>
      </c>
      <c r="N88" s="8"/>
      <c r="P88" s="6">
        <f t="shared" si="2"/>
        <v>35</v>
      </c>
      <c r="Q88" s="9" t="s">
        <v>396</v>
      </c>
      <c r="R88" s="9"/>
      <c r="T88" s="6">
        <f t="shared" si="3"/>
        <v>0</v>
      </c>
      <c r="X88" s="9" t="s">
        <v>396</v>
      </c>
    </row>
    <row r="89" spans="1:24" ht="15.6" x14ac:dyDescent="0.25">
      <c r="A89" s="11" t="s">
        <v>284</v>
      </c>
      <c r="B89" s="11" t="s">
        <v>365</v>
      </c>
      <c r="C89" s="11" t="s">
        <v>57</v>
      </c>
      <c r="D89" s="11" t="s">
        <v>2</v>
      </c>
      <c r="E89" s="10" t="s">
        <v>29</v>
      </c>
      <c r="F89" s="11">
        <v>75</v>
      </c>
      <c r="G89" s="10">
        <v>35</v>
      </c>
      <c r="H89" s="10" t="s">
        <v>29</v>
      </c>
      <c r="I89" s="10" t="s">
        <v>42</v>
      </c>
      <c r="J89" s="10"/>
      <c r="K89" s="11" t="s">
        <v>405</v>
      </c>
      <c r="L89" s="10">
        <v>0</v>
      </c>
      <c r="M89" s="12">
        <v>4</v>
      </c>
      <c r="N89" s="8"/>
      <c r="P89" s="6">
        <f t="shared" si="2"/>
        <v>35</v>
      </c>
      <c r="Q89" s="9" t="s">
        <v>396</v>
      </c>
      <c r="R89" s="9"/>
      <c r="T89" s="6">
        <f t="shared" si="3"/>
        <v>0</v>
      </c>
      <c r="X89" s="9" t="s">
        <v>396</v>
      </c>
    </row>
    <row r="90" spans="1:24" ht="15.6" x14ac:dyDescent="0.25">
      <c r="A90" s="11" t="s">
        <v>285</v>
      </c>
      <c r="B90" s="11" t="s">
        <v>473</v>
      </c>
      <c r="C90" s="11" t="s">
        <v>57</v>
      </c>
      <c r="D90" s="11" t="s">
        <v>2</v>
      </c>
      <c r="E90" s="10" t="s">
        <v>29</v>
      </c>
      <c r="F90" s="11">
        <v>75</v>
      </c>
      <c r="G90" s="10">
        <v>35</v>
      </c>
      <c r="H90" s="10" t="s">
        <v>29</v>
      </c>
      <c r="I90" s="10"/>
      <c r="J90" s="10"/>
      <c r="K90" s="11" t="s">
        <v>405</v>
      </c>
      <c r="L90" s="10">
        <v>0</v>
      </c>
      <c r="M90" s="12">
        <v>4</v>
      </c>
      <c r="N90" s="8"/>
      <c r="P90" s="6">
        <f t="shared" si="2"/>
        <v>35</v>
      </c>
      <c r="Q90" s="9" t="s">
        <v>396</v>
      </c>
      <c r="R90" s="9"/>
      <c r="T90" s="6">
        <f t="shared" si="3"/>
        <v>0</v>
      </c>
      <c r="X90" s="9"/>
    </row>
    <row r="91" spans="1:24" ht="15.6" x14ac:dyDescent="0.25">
      <c r="A91" s="11" t="s">
        <v>286</v>
      </c>
      <c r="B91" s="11" t="s">
        <v>366</v>
      </c>
      <c r="C91" s="11" t="s">
        <v>57</v>
      </c>
      <c r="D91" s="11" t="s">
        <v>2</v>
      </c>
      <c r="E91" s="10" t="s">
        <v>29</v>
      </c>
      <c r="F91" s="11">
        <v>60</v>
      </c>
      <c r="G91" s="10">
        <v>35</v>
      </c>
      <c r="H91" s="10" t="s">
        <v>29</v>
      </c>
      <c r="I91" s="10"/>
      <c r="J91" s="10"/>
      <c r="K91" s="11" t="s">
        <v>405</v>
      </c>
      <c r="L91" s="10">
        <v>0</v>
      </c>
      <c r="M91" s="12">
        <v>4</v>
      </c>
      <c r="N91" s="8"/>
      <c r="P91" s="6">
        <f t="shared" si="2"/>
        <v>35</v>
      </c>
      <c r="Q91" s="9" t="s">
        <v>396</v>
      </c>
      <c r="R91" s="9"/>
      <c r="T91" s="6">
        <f t="shared" si="3"/>
        <v>0</v>
      </c>
      <c r="X91" s="9"/>
    </row>
    <row r="92" spans="1:24" ht="15.6" x14ac:dyDescent="0.25">
      <c r="A92" s="11" t="s">
        <v>287</v>
      </c>
      <c r="B92" s="11" t="s">
        <v>322</v>
      </c>
      <c r="C92" s="11" t="s">
        <v>57</v>
      </c>
      <c r="D92" s="11" t="s">
        <v>2</v>
      </c>
      <c r="E92" s="10"/>
      <c r="F92" s="11"/>
      <c r="G92" s="10">
        <v>20</v>
      </c>
      <c r="H92" s="10"/>
      <c r="I92" s="10"/>
      <c r="J92" s="10"/>
      <c r="K92" s="11" t="s">
        <v>476</v>
      </c>
      <c r="L92" s="10">
        <v>0</v>
      </c>
      <c r="M92" s="12">
        <v>5</v>
      </c>
      <c r="N92" s="8"/>
      <c r="P92" s="6">
        <f t="shared" si="2"/>
        <v>20</v>
      </c>
      <c r="Q92" s="9"/>
      <c r="R92" s="9"/>
      <c r="T92" s="6">
        <f t="shared" si="3"/>
        <v>0</v>
      </c>
      <c r="X92" s="9" t="s">
        <v>396</v>
      </c>
    </row>
    <row r="93" spans="1:24" ht="15.6" x14ac:dyDescent="0.25">
      <c r="A93" s="11" t="s">
        <v>288</v>
      </c>
      <c r="B93" s="11" t="s">
        <v>323</v>
      </c>
      <c r="C93" s="11" t="s">
        <v>57</v>
      </c>
      <c r="D93" s="11" t="s">
        <v>2</v>
      </c>
      <c r="E93" s="10"/>
      <c r="F93" s="11"/>
      <c r="G93" s="10">
        <v>20</v>
      </c>
      <c r="H93" s="10"/>
      <c r="I93" s="10"/>
      <c r="J93" s="10"/>
      <c r="K93" s="11" t="s">
        <v>476</v>
      </c>
      <c r="L93" s="10">
        <v>0</v>
      </c>
      <c r="M93" s="12">
        <v>5</v>
      </c>
      <c r="N93" s="8"/>
      <c r="P93" s="6">
        <f t="shared" si="2"/>
        <v>20</v>
      </c>
      <c r="Q93" s="9"/>
      <c r="R93" s="9"/>
      <c r="T93" s="6">
        <f t="shared" si="3"/>
        <v>0</v>
      </c>
      <c r="X93" s="9" t="s">
        <v>396</v>
      </c>
    </row>
    <row r="94" spans="1:24" ht="15.6" x14ac:dyDescent="0.25">
      <c r="A94" s="11" t="s">
        <v>289</v>
      </c>
      <c r="B94" s="11" t="s">
        <v>367</v>
      </c>
      <c r="C94" s="11" t="s">
        <v>57</v>
      </c>
      <c r="D94" s="11" t="s">
        <v>2</v>
      </c>
      <c r="E94" s="10" t="s">
        <v>29</v>
      </c>
      <c r="F94" s="11"/>
      <c r="G94" s="10">
        <v>20</v>
      </c>
      <c r="H94" s="10" t="s">
        <v>29</v>
      </c>
      <c r="I94" s="10" t="s">
        <v>42</v>
      </c>
      <c r="J94" s="10"/>
      <c r="K94" s="11" t="s">
        <v>405</v>
      </c>
      <c r="L94" s="10">
        <v>0</v>
      </c>
      <c r="M94" s="12">
        <v>5</v>
      </c>
      <c r="N94" s="8"/>
      <c r="P94" s="6">
        <f t="shared" si="2"/>
        <v>20</v>
      </c>
      <c r="Q94" s="9" t="s">
        <v>396</v>
      </c>
      <c r="R94" s="9"/>
      <c r="T94" s="6">
        <f t="shared" si="3"/>
        <v>0</v>
      </c>
      <c r="X94" s="9" t="s">
        <v>396</v>
      </c>
    </row>
    <row r="95" spans="1:24" ht="15.6" x14ac:dyDescent="0.25">
      <c r="A95" s="11" t="s">
        <v>290</v>
      </c>
      <c r="B95" s="11" t="s">
        <v>368</v>
      </c>
      <c r="C95" s="11" t="s">
        <v>57</v>
      </c>
      <c r="D95" s="11" t="s">
        <v>2</v>
      </c>
      <c r="E95" s="10" t="s">
        <v>29</v>
      </c>
      <c r="F95" s="11"/>
      <c r="G95" s="10">
        <v>20</v>
      </c>
      <c r="H95" s="10" t="s">
        <v>29</v>
      </c>
      <c r="I95" s="10" t="s">
        <v>42</v>
      </c>
      <c r="J95" s="10"/>
      <c r="K95" s="11" t="s">
        <v>405</v>
      </c>
      <c r="L95" s="10">
        <v>0</v>
      </c>
      <c r="M95" s="12">
        <v>5</v>
      </c>
      <c r="N95" s="8"/>
      <c r="P95" s="6">
        <f t="shared" si="2"/>
        <v>20</v>
      </c>
      <c r="Q95" s="9" t="s">
        <v>396</v>
      </c>
      <c r="R95" s="9"/>
      <c r="T95" s="6">
        <f t="shared" si="3"/>
        <v>0</v>
      </c>
      <c r="X95" s="9" t="s">
        <v>396</v>
      </c>
    </row>
    <row r="96" spans="1:24" ht="15.6" x14ac:dyDescent="0.25">
      <c r="A96" s="11" t="s">
        <v>291</v>
      </c>
      <c r="B96" s="11" t="s">
        <v>369</v>
      </c>
      <c r="C96" s="11" t="s">
        <v>57</v>
      </c>
      <c r="D96" s="11" t="s">
        <v>2</v>
      </c>
      <c r="E96" s="10" t="s">
        <v>29</v>
      </c>
      <c r="F96" s="11"/>
      <c r="G96" s="10">
        <v>20</v>
      </c>
      <c r="H96" s="10" t="s">
        <v>29</v>
      </c>
      <c r="I96" s="10" t="s">
        <v>42</v>
      </c>
      <c r="J96" s="10"/>
      <c r="K96" s="11" t="s">
        <v>405</v>
      </c>
      <c r="L96" s="10">
        <v>0</v>
      </c>
      <c r="M96" s="12">
        <v>5</v>
      </c>
      <c r="N96" s="8"/>
      <c r="P96" s="6">
        <f t="shared" si="2"/>
        <v>20</v>
      </c>
      <c r="Q96" s="9" t="s">
        <v>396</v>
      </c>
      <c r="R96" s="9"/>
      <c r="T96" s="6">
        <f t="shared" si="3"/>
        <v>0</v>
      </c>
      <c r="X96" s="9" t="s">
        <v>396</v>
      </c>
    </row>
    <row r="97" spans="1:24" ht="16.2" customHeight="1" x14ac:dyDescent="0.25">
      <c r="A97" s="11" t="s">
        <v>292</v>
      </c>
      <c r="B97" s="11" t="s">
        <v>370</v>
      </c>
      <c r="C97" s="11" t="s">
        <v>57</v>
      </c>
      <c r="D97" s="11" t="s">
        <v>2</v>
      </c>
      <c r="E97" s="10" t="s">
        <v>29</v>
      </c>
      <c r="F97" s="11"/>
      <c r="G97" s="10">
        <v>20</v>
      </c>
      <c r="H97" s="10" t="s">
        <v>29</v>
      </c>
      <c r="I97" s="10" t="s">
        <v>29</v>
      </c>
      <c r="J97" s="10"/>
      <c r="K97" s="11" t="s">
        <v>405</v>
      </c>
      <c r="L97" s="10">
        <v>0</v>
      </c>
      <c r="M97" s="12">
        <v>5</v>
      </c>
      <c r="N97" s="8"/>
      <c r="P97" s="6">
        <f t="shared" si="2"/>
        <v>20</v>
      </c>
      <c r="Q97" s="9" t="s">
        <v>396</v>
      </c>
      <c r="R97" s="9"/>
      <c r="T97" s="6">
        <f t="shared" si="3"/>
        <v>0</v>
      </c>
      <c r="X97" s="9" t="s">
        <v>395</v>
      </c>
    </row>
    <row r="98" spans="1:24" ht="15.6" x14ac:dyDescent="0.25">
      <c r="A98" s="11" t="s">
        <v>293</v>
      </c>
      <c r="B98" s="11" t="s">
        <v>371</v>
      </c>
      <c r="C98" s="11" t="s">
        <v>57</v>
      </c>
      <c r="D98" s="11" t="s">
        <v>2</v>
      </c>
      <c r="E98" s="10" t="s">
        <v>29</v>
      </c>
      <c r="F98" s="11"/>
      <c r="G98" s="10">
        <v>20</v>
      </c>
      <c r="H98" s="10" t="s">
        <v>29</v>
      </c>
      <c r="I98" s="10" t="s">
        <v>190</v>
      </c>
      <c r="J98" s="10"/>
      <c r="K98" s="11" t="s">
        <v>405</v>
      </c>
      <c r="L98" s="10">
        <v>0</v>
      </c>
      <c r="M98" s="12">
        <v>5</v>
      </c>
      <c r="N98" s="8"/>
      <c r="P98" s="6">
        <f t="shared" si="2"/>
        <v>20</v>
      </c>
      <c r="Q98" s="9" t="s">
        <v>396</v>
      </c>
      <c r="R98" s="9"/>
      <c r="T98" s="6">
        <f t="shared" si="3"/>
        <v>0</v>
      </c>
      <c r="X98" s="9" t="s">
        <v>396</v>
      </c>
    </row>
    <row r="99" spans="1:24" ht="31.2" x14ac:dyDescent="0.25">
      <c r="A99" s="11" t="s">
        <v>254</v>
      </c>
      <c r="B99" s="11" t="s">
        <v>35</v>
      </c>
      <c r="C99" s="11" t="s">
        <v>58</v>
      </c>
      <c r="D99" s="11" t="s">
        <v>2</v>
      </c>
      <c r="E99" s="10" t="s">
        <v>29</v>
      </c>
      <c r="F99" s="11"/>
      <c r="G99" s="10">
        <v>35</v>
      </c>
      <c r="H99" s="10" t="s">
        <v>29</v>
      </c>
      <c r="I99" s="10" t="s">
        <v>190</v>
      </c>
      <c r="J99" s="10"/>
      <c r="K99" s="11" t="s">
        <v>404</v>
      </c>
      <c r="L99" s="10">
        <v>0</v>
      </c>
      <c r="M99" s="12">
        <v>1</v>
      </c>
      <c r="N99" s="8"/>
      <c r="P99" s="6">
        <f t="shared" si="2"/>
        <v>35</v>
      </c>
      <c r="Q99" s="9" t="s">
        <v>395</v>
      </c>
      <c r="R99" s="9"/>
      <c r="T99" s="6">
        <f t="shared" si="3"/>
        <v>0</v>
      </c>
      <c r="X99" s="9" t="s">
        <v>400</v>
      </c>
    </row>
    <row r="100" spans="1:24" ht="15.6" customHeight="1" x14ac:dyDescent="0.25">
      <c r="A100" s="11" t="s">
        <v>294</v>
      </c>
      <c r="B100" s="11" t="s">
        <v>372</v>
      </c>
      <c r="C100" s="11" t="s">
        <v>58</v>
      </c>
      <c r="D100" s="11" t="s">
        <v>2</v>
      </c>
      <c r="E100" s="10" t="s">
        <v>29</v>
      </c>
      <c r="F100" s="11"/>
      <c r="G100" s="10">
        <v>35</v>
      </c>
      <c r="H100" s="10" t="s">
        <v>29</v>
      </c>
      <c r="I100" s="10" t="s">
        <v>37</v>
      </c>
      <c r="J100" s="10"/>
      <c r="K100" s="11" t="s">
        <v>405</v>
      </c>
      <c r="L100" s="10">
        <v>0</v>
      </c>
      <c r="M100" s="12">
        <v>1</v>
      </c>
      <c r="N100" s="8"/>
      <c r="P100" s="6">
        <f t="shared" si="2"/>
        <v>35</v>
      </c>
      <c r="Q100" s="9" t="s">
        <v>396</v>
      </c>
      <c r="R100" s="9"/>
      <c r="T100" s="6">
        <f t="shared" si="3"/>
        <v>0</v>
      </c>
      <c r="X100" s="9" t="s">
        <v>397</v>
      </c>
    </row>
    <row r="101" spans="1:24" ht="15.6" customHeight="1" x14ac:dyDescent="0.25">
      <c r="A101" s="11" t="s">
        <v>295</v>
      </c>
      <c r="B101" s="11" t="s">
        <v>373</v>
      </c>
      <c r="C101" s="11" t="s">
        <v>58</v>
      </c>
      <c r="D101" s="11" t="s">
        <v>2</v>
      </c>
      <c r="E101" s="10" t="s">
        <v>29</v>
      </c>
      <c r="F101" s="11">
        <v>60</v>
      </c>
      <c r="G101" s="10">
        <v>35</v>
      </c>
      <c r="H101" s="10" t="s">
        <v>29</v>
      </c>
      <c r="I101" s="10" t="s">
        <v>190</v>
      </c>
      <c r="J101" s="10"/>
      <c r="K101" s="11" t="s">
        <v>477</v>
      </c>
      <c r="L101" s="10">
        <v>0</v>
      </c>
      <c r="M101" s="12">
        <v>2</v>
      </c>
      <c r="N101" s="8"/>
      <c r="P101" s="6">
        <f t="shared" si="2"/>
        <v>35</v>
      </c>
      <c r="Q101" s="9" t="s">
        <v>400</v>
      </c>
      <c r="R101" s="9"/>
      <c r="T101" s="6">
        <f t="shared" si="3"/>
        <v>0</v>
      </c>
      <c r="X101" s="9" t="s">
        <v>397</v>
      </c>
    </row>
    <row r="102" spans="1:24" ht="31.2" x14ac:dyDescent="0.25">
      <c r="A102" s="11" t="s">
        <v>255</v>
      </c>
      <c r="B102" s="11" t="s">
        <v>326</v>
      </c>
      <c r="C102" s="11" t="s">
        <v>58</v>
      </c>
      <c r="D102" s="11" t="s">
        <v>2</v>
      </c>
      <c r="E102" s="10" t="s">
        <v>29</v>
      </c>
      <c r="F102" s="11">
        <v>75</v>
      </c>
      <c r="G102" s="10">
        <v>35</v>
      </c>
      <c r="H102" s="10" t="s">
        <v>29</v>
      </c>
      <c r="I102" s="10" t="s">
        <v>37</v>
      </c>
      <c r="J102" s="10"/>
      <c r="K102" s="11" t="s">
        <v>29</v>
      </c>
      <c r="L102" s="10">
        <v>1</v>
      </c>
      <c r="M102" s="12">
        <v>2</v>
      </c>
      <c r="N102" s="8"/>
      <c r="P102" s="6">
        <f t="shared" si="2"/>
        <v>35</v>
      </c>
      <c r="Q102" s="9" t="s">
        <v>397</v>
      </c>
      <c r="R102" s="9"/>
      <c r="T102" s="6">
        <f t="shared" si="3"/>
        <v>1</v>
      </c>
      <c r="X102" s="9" t="s">
        <v>396</v>
      </c>
    </row>
    <row r="103" spans="1:24" ht="31.2" x14ac:dyDescent="0.25">
      <c r="A103" s="11" t="s">
        <v>296</v>
      </c>
      <c r="B103" s="11" t="s">
        <v>374</v>
      </c>
      <c r="C103" s="11" t="s">
        <v>58</v>
      </c>
      <c r="D103" s="11" t="s">
        <v>2</v>
      </c>
      <c r="E103" s="10" t="s">
        <v>29</v>
      </c>
      <c r="F103" s="11">
        <v>75</v>
      </c>
      <c r="G103" s="10">
        <v>20</v>
      </c>
      <c r="H103" s="10" t="s">
        <v>29</v>
      </c>
      <c r="I103" s="10" t="s">
        <v>37</v>
      </c>
      <c r="J103" s="10"/>
      <c r="K103" s="11" t="s">
        <v>29</v>
      </c>
      <c r="L103" s="10">
        <v>1</v>
      </c>
      <c r="M103" s="12">
        <v>2</v>
      </c>
      <c r="N103" s="8"/>
      <c r="P103" s="6">
        <f t="shared" si="2"/>
        <v>20</v>
      </c>
      <c r="Q103" s="9" t="s">
        <v>397</v>
      </c>
      <c r="R103" s="9"/>
      <c r="T103" s="6">
        <f t="shared" si="3"/>
        <v>1</v>
      </c>
      <c r="X103" s="9" t="s">
        <v>400</v>
      </c>
    </row>
    <row r="104" spans="1:24" ht="15.6" x14ac:dyDescent="0.25">
      <c r="A104" s="11" t="s">
        <v>297</v>
      </c>
      <c r="B104" s="11" t="s">
        <v>38</v>
      </c>
      <c r="C104" s="11" t="s">
        <v>58</v>
      </c>
      <c r="D104" s="11" t="s">
        <v>2</v>
      </c>
      <c r="E104" s="10" t="s">
        <v>29</v>
      </c>
      <c r="F104" s="11">
        <v>75</v>
      </c>
      <c r="G104" s="10">
        <v>35</v>
      </c>
      <c r="H104" s="10" t="s">
        <v>29</v>
      </c>
      <c r="I104" s="10" t="s">
        <v>37</v>
      </c>
      <c r="J104" s="10"/>
      <c r="K104" s="11" t="s">
        <v>405</v>
      </c>
      <c r="L104" s="10">
        <v>0</v>
      </c>
      <c r="M104" s="12">
        <v>2</v>
      </c>
      <c r="N104" s="8"/>
      <c r="P104" s="6">
        <f t="shared" si="2"/>
        <v>35</v>
      </c>
      <c r="Q104" s="9" t="s">
        <v>396</v>
      </c>
      <c r="R104" s="9"/>
      <c r="T104" s="6">
        <f t="shared" si="3"/>
        <v>0</v>
      </c>
      <c r="X104" s="9" t="s">
        <v>396</v>
      </c>
    </row>
    <row r="105" spans="1:24" ht="16.8" customHeight="1" x14ac:dyDescent="0.25">
      <c r="A105" s="11" t="s">
        <v>298</v>
      </c>
      <c r="B105" s="11" t="s">
        <v>375</v>
      </c>
      <c r="C105" s="11" t="s">
        <v>58</v>
      </c>
      <c r="D105" s="11" t="s">
        <v>2</v>
      </c>
      <c r="E105" s="10" t="s">
        <v>29</v>
      </c>
      <c r="F105" s="11">
        <v>45</v>
      </c>
      <c r="G105" s="10">
        <v>35</v>
      </c>
      <c r="H105" s="10" t="s">
        <v>29</v>
      </c>
      <c r="I105" s="10" t="s">
        <v>37</v>
      </c>
      <c r="J105" s="10"/>
      <c r="K105" s="11" t="s">
        <v>477</v>
      </c>
      <c r="L105" s="10">
        <v>0</v>
      </c>
      <c r="M105" s="12">
        <v>2</v>
      </c>
      <c r="N105" s="8"/>
      <c r="P105" s="6">
        <f t="shared" si="2"/>
        <v>35</v>
      </c>
      <c r="Q105" s="9" t="s">
        <v>400</v>
      </c>
      <c r="R105" s="9"/>
      <c r="T105" s="6">
        <f t="shared" si="3"/>
        <v>0</v>
      </c>
      <c r="X105" s="9" t="s">
        <v>397</v>
      </c>
    </row>
    <row r="106" spans="1:24" ht="16.2" customHeight="1" x14ac:dyDescent="0.25">
      <c r="A106" s="11" t="s">
        <v>275</v>
      </c>
      <c r="B106" s="11" t="s">
        <v>376</v>
      </c>
      <c r="C106" s="11" t="s">
        <v>58</v>
      </c>
      <c r="D106" s="11" t="s">
        <v>2</v>
      </c>
      <c r="E106" s="10" t="s">
        <v>29</v>
      </c>
      <c r="F106" s="11">
        <v>60</v>
      </c>
      <c r="G106" s="10">
        <v>35</v>
      </c>
      <c r="H106" s="10" t="s">
        <v>29</v>
      </c>
      <c r="I106" s="10" t="s">
        <v>37</v>
      </c>
      <c r="J106" s="10"/>
      <c r="K106" s="11" t="s">
        <v>405</v>
      </c>
      <c r="L106" s="10">
        <v>0</v>
      </c>
      <c r="M106" s="12">
        <v>2</v>
      </c>
      <c r="N106" s="8"/>
      <c r="P106" s="6">
        <f t="shared" si="2"/>
        <v>35</v>
      </c>
      <c r="Q106" s="9" t="s">
        <v>396</v>
      </c>
      <c r="R106" s="9"/>
      <c r="T106" s="6">
        <f t="shared" si="3"/>
        <v>0</v>
      </c>
      <c r="X106" s="9" t="s">
        <v>397</v>
      </c>
    </row>
    <row r="107" spans="1:24" ht="31.2" x14ac:dyDescent="0.25">
      <c r="A107" s="11" t="s">
        <v>299</v>
      </c>
      <c r="B107" s="11" t="s">
        <v>377</v>
      </c>
      <c r="C107" s="11" t="s">
        <v>58</v>
      </c>
      <c r="D107" s="11" t="s">
        <v>2</v>
      </c>
      <c r="E107" s="10" t="s">
        <v>29</v>
      </c>
      <c r="F107" s="11"/>
      <c r="G107" s="10">
        <v>20</v>
      </c>
      <c r="H107" s="10" t="s">
        <v>29</v>
      </c>
      <c r="I107" s="10" t="s">
        <v>37</v>
      </c>
      <c r="J107" s="10"/>
      <c r="K107" s="11" t="s">
        <v>29</v>
      </c>
      <c r="L107" s="10">
        <v>1</v>
      </c>
      <c r="M107" s="12">
        <v>3</v>
      </c>
      <c r="N107" s="8"/>
      <c r="P107" s="6">
        <f t="shared" si="2"/>
        <v>20</v>
      </c>
      <c r="Q107" s="9" t="s">
        <v>397</v>
      </c>
      <c r="R107" s="9"/>
      <c r="T107" s="6">
        <f t="shared" si="3"/>
        <v>1</v>
      </c>
      <c r="X107" s="9" t="s">
        <v>396</v>
      </c>
    </row>
    <row r="108" spans="1:24" ht="31.2" x14ac:dyDescent="0.25">
      <c r="A108" s="11" t="s">
        <v>300</v>
      </c>
      <c r="B108" s="11" t="s">
        <v>378</v>
      </c>
      <c r="C108" s="11" t="s">
        <v>58</v>
      </c>
      <c r="D108" s="11" t="s">
        <v>2</v>
      </c>
      <c r="E108" s="10" t="s">
        <v>29</v>
      </c>
      <c r="F108" s="11"/>
      <c r="G108" s="10">
        <v>35</v>
      </c>
      <c r="H108" s="10" t="s">
        <v>29</v>
      </c>
      <c r="I108" s="10" t="s">
        <v>37</v>
      </c>
      <c r="J108" s="10"/>
      <c r="K108" s="11" t="s">
        <v>29</v>
      </c>
      <c r="L108" s="10">
        <v>1</v>
      </c>
      <c r="M108" s="12">
        <v>3</v>
      </c>
      <c r="N108" s="8"/>
      <c r="P108" s="6">
        <f t="shared" si="2"/>
        <v>35</v>
      </c>
      <c r="Q108" s="9" t="s">
        <v>397</v>
      </c>
      <c r="R108" s="9"/>
      <c r="T108" s="6">
        <f t="shared" si="3"/>
        <v>1</v>
      </c>
      <c r="X108" s="9" t="s">
        <v>396</v>
      </c>
    </row>
    <row r="109" spans="1:24" ht="16.8" customHeight="1" x14ac:dyDescent="0.25">
      <c r="A109" s="11" t="s">
        <v>301</v>
      </c>
      <c r="B109" s="11" t="s">
        <v>379</v>
      </c>
      <c r="C109" s="11" t="s">
        <v>58</v>
      </c>
      <c r="D109" s="11" t="s">
        <v>2</v>
      </c>
      <c r="E109" s="10" t="s">
        <v>29</v>
      </c>
      <c r="F109" s="11"/>
      <c r="G109" s="10">
        <v>35</v>
      </c>
      <c r="H109" s="10" t="s">
        <v>29</v>
      </c>
      <c r="I109" s="10" t="s">
        <v>37</v>
      </c>
      <c r="J109" s="10"/>
      <c r="K109" s="11" t="s">
        <v>405</v>
      </c>
      <c r="L109" s="10">
        <v>0</v>
      </c>
      <c r="M109" s="12">
        <v>3</v>
      </c>
      <c r="N109" s="8"/>
      <c r="P109" s="6">
        <f t="shared" si="2"/>
        <v>35</v>
      </c>
      <c r="Q109" s="9" t="s">
        <v>396</v>
      </c>
      <c r="R109" s="9"/>
      <c r="T109" s="6">
        <f t="shared" si="3"/>
        <v>0</v>
      </c>
      <c r="X109" s="9" t="s">
        <v>401</v>
      </c>
    </row>
    <row r="110" spans="1:24" ht="15.6" customHeight="1" x14ac:dyDescent="0.25">
      <c r="A110" s="11" t="s">
        <v>302</v>
      </c>
      <c r="B110" s="11" t="s">
        <v>334</v>
      </c>
      <c r="C110" s="11" t="s">
        <v>58</v>
      </c>
      <c r="D110" s="11" t="s">
        <v>2</v>
      </c>
      <c r="E110" s="10" t="s">
        <v>29</v>
      </c>
      <c r="F110" s="11"/>
      <c r="G110" s="10">
        <v>20</v>
      </c>
      <c r="H110" s="10" t="s">
        <v>29</v>
      </c>
      <c r="I110" s="10" t="s">
        <v>37</v>
      </c>
      <c r="J110" s="10"/>
      <c r="K110" s="11" t="s">
        <v>405</v>
      </c>
      <c r="L110" s="10">
        <v>0</v>
      </c>
      <c r="M110" s="12">
        <v>3</v>
      </c>
      <c r="N110" s="8"/>
      <c r="P110" s="6">
        <f t="shared" si="2"/>
        <v>20</v>
      </c>
      <c r="Q110" s="9" t="s">
        <v>396</v>
      </c>
      <c r="R110" s="9"/>
      <c r="T110" s="6">
        <f t="shared" si="3"/>
        <v>0</v>
      </c>
      <c r="X110" s="9" t="s">
        <v>397</v>
      </c>
    </row>
    <row r="111" spans="1:24" ht="15.6" customHeight="1" x14ac:dyDescent="0.25">
      <c r="A111" s="11" t="s">
        <v>303</v>
      </c>
      <c r="B111" s="11" t="s">
        <v>380</v>
      </c>
      <c r="C111" s="11" t="s">
        <v>58</v>
      </c>
      <c r="D111" s="11" t="s">
        <v>2</v>
      </c>
      <c r="E111" s="10" t="s">
        <v>29</v>
      </c>
      <c r="F111" s="11"/>
      <c r="G111" s="10">
        <v>35</v>
      </c>
      <c r="H111" s="10" t="s">
        <v>29</v>
      </c>
      <c r="I111" s="10" t="s">
        <v>37</v>
      </c>
      <c r="J111" s="10"/>
      <c r="K111" s="11" t="s">
        <v>404</v>
      </c>
      <c r="L111" s="10">
        <v>0</v>
      </c>
      <c r="M111" s="12">
        <v>3</v>
      </c>
      <c r="N111" s="8"/>
      <c r="P111" s="6">
        <f t="shared" si="2"/>
        <v>35</v>
      </c>
      <c r="Q111" s="9" t="s">
        <v>407</v>
      </c>
      <c r="R111" s="9"/>
      <c r="T111" s="6">
        <f t="shared" si="3"/>
        <v>0</v>
      </c>
      <c r="X111" s="9" t="s">
        <v>401</v>
      </c>
    </row>
    <row r="112" spans="1:24" ht="31.2" x14ac:dyDescent="0.25">
      <c r="A112" s="11" t="s">
        <v>304</v>
      </c>
      <c r="B112" s="11" t="s">
        <v>474</v>
      </c>
      <c r="C112" s="11" t="s">
        <v>58</v>
      </c>
      <c r="D112" s="11" t="s">
        <v>2</v>
      </c>
      <c r="E112" s="10" t="s">
        <v>29</v>
      </c>
      <c r="F112" s="11"/>
      <c r="G112" s="10">
        <v>35</v>
      </c>
      <c r="H112" s="10" t="s">
        <v>29</v>
      </c>
      <c r="I112" s="10" t="s">
        <v>37</v>
      </c>
      <c r="J112" s="10"/>
      <c r="K112" s="11" t="s">
        <v>29</v>
      </c>
      <c r="L112" s="10">
        <v>1</v>
      </c>
      <c r="M112" s="12">
        <v>3</v>
      </c>
      <c r="N112" s="8"/>
      <c r="P112" s="6">
        <f t="shared" si="2"/>
        <v>35</v>
      </c>
      <c r="Q112" s="9" t="s">
        <v>397</v>
      </c>
      <c r="R112" s="9"/>
      <c r="T112" s="6">
        <f t="shared" si="3"/>
        <v>1</v>
      </c>
      <c r="X112" s="9" t="s">
        <v>396</v>
      </c>
    </row>
    <row r="113" spans="1:24" ht="31.2" x14ac:dyDescent="0.25">
      <c r="A113" s="11" t="s">
        <v>305</v>
      </c>
      <c r="B113" s="11" t="s">
        <v>335</v>
      </c>
      <c r="C113" s="11" t="s">
        <v>58</v>
      </c>
      <c r="D113" s="11" t="s">
        <v>2</v>
      </c>
      <c r="E113" s="10" t="s">
        <v>29</v>
      </c>
      <c r="F113" s="11"/>
      <c r="G113" s="10">
        <v>35</v>
      </c>
      <c r="H113" s="10" t="s">
        <v>29</v>
      </c>
      <c r="I113" s="10" t="s">
        <v>37</v>
      </c>
      <c r="J113" s="10"/>
      <c r="K113" s="11" t="s">
        <v>404</v>
      </c>
      <c r="L113" s="10">
        <v>0</v>
      </c>
      <c r="M113" s="12">
        <v>3</v>
      </c>
      <c r="N113" s="8"/>
      <c r="P113" s="6">
        <f t="shared" si="2"/>
        <v>35</v>
      </c>
      <c r="Q113" s="9" t="s">
        <v>407</v>
      </c>
      <c r="R113" s="9"/>
      <c r="T113" s="6">
        <f t="shared" si="3"/>
        <v>0</v>
      </c>
      <c r="X113" s="9" t="s">
        <v>396</v>
      </c>
    </row>
    <row r="114" spans="1:24" ht="15.6" x14ac:dyDescent="0.25">
      <c r="A114" s="11" t="s">
        <v>306</v>
      </c>
      <c r="B114" s="11" t="s">
        <v>381</v>
      </c>
      <c r="C114" s="11" t="s">
        <v>58</v>
      </c>
      <c r="D114" s="11" t="s">
        <v>2</v>
      </c>
      <c r="E114" s="10" t="s">
        <v>29</v>
      </c>
      <c r="F114" s="11">
        <v>45</v>
      </c>
      <c r="G114" s="10">
        <v>35</v>
      </c>
      <c r="H114" s="10" t="s">
        <v>29</v>
      </c>
      <c r="I114" s="10" t="s">
        <v>37</v>
      </c>
      <c r="J114" s="10"/>
      <c r="K114" s="11" t="s">
        <v>405</v>
      </c>
      <c r="L114" s="10">
        <v>0</v>
      </c>
      <c r="M114" s="12">
        <v>4</v>
      </c>
      <c r="N114" s="8"/>
      <c r="P114" s="6">
        <f t="shared" si="2"/>
        <v>35</v>
      </c>
      <c r="Q114" s="9" t="s">
        <v>396</v>
      </c>
      <c r="R114" s="9"/>
      <c r="T114" s="6">
        <f t="shared" si="3"/>
        <v>0</v>
      </c>
      <c r="X114" s="9" t="s">
        <v>396</v>
      </c>
    </row>
    <row r="115" spans="1:24" ht="15.6" x14ac:dyDescent="0.25">
      <c r="A115" s="11" t="s">
        <v>307</v>
      </c>
      <c r="B115" s="11" t="s">
        <v>382</v>
      </c>
      <c r="C115" s="11" t="s">
        <v>58</v>
      </c>
      <c r="D115" s="11" t="s">
        <v>2</v>
      </c>
      <c r="E115" s="10" t="s">
        <v>29</v>
      </c>
      <c r="F115" s="11">
        <v>60</v>
      </c>
      <c r="G115" s="10">
        <v>35</v>
      </c>
      <c r="H115" s="10" t="s">
        <v>29</v>
      </c>
      <c r="I115" s="10" t="s">
        <v>37</v>
      </c>
      <c r="J115" s="10"/>
      <c r="K115" s="11" t="s">
        <v>405</v>
      </c>
      <c r="L115" s="10">
        <v>0</v>
      </c>
      <c r="M115" s="12">
        <v>4</v>
      </c>
      <c r="N115" s="8"/>
      <c r="P115" s="6">
        <f t="shared" si="2"/>
        <v>35</v>
      </c>
      <c r="Q115" s="9" t="s">
        <v>396</v>
      </c>
      <c r="R115" s="9"/>
      <c r="T115" s="6">
        <f t="shared" si="3"/>
        <v>0</v>
      </c>
      <c r="X115" s="9" t="s">
        <v>396</v>
      </c>
    </row>
    <row r="116" spans="1:24" ht="16.8" customHeight="1" x14ac:dyDescent="0.25">
      <c r="A116" s="11" t="s">
        <v>308</v>
      </c>
      <c r="B116" s="11" t="s">
        <v>383</v>
      </c>
      <c r="C116" s="11" t="s">
        <v>58</v>
      </c>
      <c r="D116" s="11" t="s">
        <v>2</v>
      </c>
      <c r="E116" s="10" t="s">
        <v>29</v>
      </c>
      <c r="F116" s="11">
        <v>75</v>
      </c>
      <c r="G116" s="10">
        <v>35</v>
      </c>
      <c r="H116" s="10" t="s">
        <v>29</v>
      </c>
      <c r="I116" s="10" t="s">
        <v>37</v>
      </c>
      <c r="J116" s="10"/>
      <c r="K116" s="11" t="s">
        <v>405</v>
      </c>
      <c r="L116" s="10">
        <v>0</v>
      </c>
      <c r="M116" s="12">
        <v>4</v>
      </c>
      <c r="N116" s="8"/>
      <c r="P116" s="6">
        <f t="shared" si="2"/>
        <v>35</v>
      </c>
      <c r="Q116" s="9" t="s">
        <v>396</v>
      </c>
      <c r="R116" s="9"/>
      <c r="T116" s="6">
        <f t="shared" si="3"/>
        <v>0</v>
      </c>
      <c r="X116" s="9" t="s">
        <v>397</v>
      </c>
    </row>
    <row r="117" spans="1:24" ht="15.6" x14ac:dyDescent="0.25">
      <c r="A117" s="11" t="s">
        <v>309</v>
      </c>
      <c r="B117" s="11" t="s">
        <v>475</v>
      </c>
      <c r="C117" s="11" t="s">
        <v>58</v>
      </c>
      <c r="D117" s="11" t="s">
        <v>2</v>
      </c>
      <c r="E117" s="10" t="s">
        <v>29</v>
      </c>
      <c r="F117" s="11">
        <v>90</v>
      </c>
      <c r="G117" s="10">
        <v>20</v>
      </c>
      <c r="H117" s="10" t="s">
        <v>29</v>
      </c>
      <c r="I117" s="10" t="s">
        <v>37</v>
      </c>
      <c r="J117" s="10"/>
      <c r="K117" s="11" t="s">
        <v>405</v>
      </c>
      <c r="L117" s="10">
        <v>0</v>
      </c>
      <c r="M117" s="12">
        <v>4</v>
      </c>
      <c r="N117" s="8"/>
      <c r="P117" s="6">
        <f t="shared" si="2"/>
        <v>20</v>
      </c>
      <c r="Q117" s="9" t="s">
        <v>396</v>
      </c>
      <c r="R117" s="9"/>
      <c r="T117" s="6">
        <f t="shared" si="3"/>
        <v>0</v>
      </c>
      <c r="X117" s="9" t="s">
        <v>396</v>
      </c>
    </row>
    <row r="118" spans="1:24" ht="31.2" x14ac:dyDescent="0.25">
      <c r="A118" s="11" t="s">
        <v>310</v>
      </c>
      <c r="B118" s="11" t="s">
        <v>384</v>
      </c>
      <c r="C118" s="11" t="s">
        <v>58</v>
      </c>
      <c r="D118" s="11" t="s">
        <v>2</v>
      </c>
      <c r="E118" s="10" t="s">
        <v>29</v>
      </c>
      <c r="F118" s="11">
        <v>60</v>
      </c>
      <c r="G118" s="10">
        <v>35</v>
      </c>
      <c r="H118" s="10" t="s">
        <v>29</v>
      </c>
      <c r="I118" s="10" t="s">
        <v>37</v>
      </c>
      <c r="J118" s="10"/>
      <c r="K118" s="11" t="s">
        <v>29</v>
      </c>
      <c r="L118" s="10">
        <v>1</v>
      </c>
      <c r="M118" s="12">
        <v>4</v>
      </c>
      <c r="N118" s="8"/>
      <c r="P118" s="6">
        <f t="shared" si="2"/>
        <v>35</v>
      </c>
      <c r="Q118" s="9" t="s">
        <v>397</v>
      </c>
      <c r="R118" s="9"/>
      <c r="T118" s="6">
        <f t="shared" si="3"/>
        <v>1</v>
      </c>
      <c r="X118" s="9" t="s">
        <v>396</v>
      </c>
    </row>
    <row r="119" spans="1:24" ht="15.6" x14ac:dyDescent="0.25">
      <c r="A119" s="11" t="s">
        <v>311</v>
      </c>
      <c r="B119" s="11" t="s">
        <v>385</v>
      </c>
      <c r="C119" s="11" t="s">
        <v>58</v>
      </c>
      <c r="D119" s="11" t="s">
        <v>2</v>
      </c>
      <c r="E119" s="10" t="s">
        <v>29</v>
      </c>
      <c r="F119" s="11">
        <v>90</v>
      </c>
      <c r="G119" s="10">
        <v>20</v>
      </c>
      <c r="H119" s="10" t="s">
        <v>29</v>
      </c>
      <c r="I119" s="10" t="s">
        <v>37</v>
      </c>
      <c r="J119" s="10"/>
      <c r="K119" s="11" t="s">
        <v>405</v>
      </c>
      <c r="L119" s="10">
        <v>0</v>
      </c>
      <c r="M119" s="12">
        <v>4</v>
      </c>
      <c r="N119" s="8"/>
      <c r="P119" s="6">
        <f t="shared" si="2"/>
        <v>20</v>
      </c>
      <c r="Q119" s="9" t="s">
        <v>396</v>
      </c>
      <c r="R119" s="9"/>
      <c r="T119" s="6">
        <f t="shared" si="3"/>
        <v>0</v>
      </c>
      <c r="X119" s="9" t="s">
        <v>396</v>
      </c>
    </row>
    <row r="120" spans="1:24" ht="15.6" x14ac:dyDescent="0.25">
      <c r="A120" s="11" t="s">
        <v>312</v>
      </c>
      <c r="B120" s="11" t="s">
        <v>386</v>
      </c>
      <c r="C120" s="11" t="s">
        <v>58</v>
      </c>
      <c r="D120" s="11" t="s">
        <v>2</v>
      </c>
      <c r="E120" s="10" t="s">
        <v>29</v>
      </c>
      <c r="F120" s="11">
        <v>75</v>
      </c>
      <c r="G120" s="10">
        <v>35</v>
      </c>
      <c r="H120" s="10" t="s">
        <v>29</v>
      </c>
      <c r="I120" s="10" t="s">
        <v>37</v>
      </c>
      <c r="J120" s="10"/>
      <c r="K120" s="11" t="s">
        <v>405</v>
      </c>
      <c r="L120" s="10">
        <v>0</v>
      </c>
      <c r="M120" s="12">
        <v>4</v>
      </c>
      <c r="N120" s="8"/>
      <c r="P120" s="6">
        <f t="shared" si="2"/>
        <v>35</v>
      </c>
      <c r="Q120" s="9" t="s">
        <v>396</v>
      </c>
      <c r="R120" s="9"/>
      <c r="T120" s="6">
        <f t="shared" si="3"/>
        <v>0</v>
      </c>
      <c r="X120" s="9"/>
    </row>
    <row r="121" spans="1:24" ht="15.6" x14ac:dyDescent="0.25">
      <c r="A121" s="11" t="s">
        <v>267</v>
      </c>
      <c r="B121" s="11" t="s">
        <v>350</v>
      </c>
      <c r="C121" s="11" t="s">
        <v>58</v>
      </c>
      <c r="D121" s="11" t="s">
        <v>2</v>
      </c>
      <c r="E121" s="10" t="s">
        <v>29</v>
      </c>
      <c r="F121" s="11">
        <v>75</v>
      </c>
      <c r="G121" s="10">
        <v>35</v>
      </c>
      <c r="H121" s="10" t="s">
        <v>29</v>
      </c>
      <c r="I121" s="10" t="s">
        <v>37</v>
      </c>
      <c r="J121" s="10"/>
      <c r="K121" s="11" t="s">
        <v>405</v>
      </c>
      <c r="L121" s="10">
        <v>0</v>
      </c>
      <c r="M121" s="12">
        <v>4</v>
      </c>
      <c r="N121" s="8"/>
      <c r="P121" s="6">
        <f t="shared" si="2"/>
        <v>35</v>
      </c>
      <c r="Q121" s="9" t="s">
        <v>396</v>
      </c>
      <c r="R121" s="9"/>
      <c r="T121" s="6">
        <f t="shared" si="3"/>
        <v>0</v>
      </c>
      <c r="X121" s="9" t="s">
        <v>396</v>
      </c>
    </row>
    <row r="122" spans="1:24" ht="15.6" x14ac:dyDescent="0.25">
      <c r="A122" s="11" t="s">
        <v>313</v>
      </c>
      <c r="B122" s="11" t="s">
        <v>322</v>
      </c>
      <c r="C122" s="11" t="s">
        <v>58</v>
      </c>
      <c r="D122" s="11" t="s">
        <v>2</v>
      </c>
      <c r="E122" s="10"/>
      <c r="F122" s="11"/>
      <c r="G122" s="10">
        <v>20</v>
      </c>
      <c r="H122" s="10"/>
      <c r="I122" s="10"/>
      <c r="J122" s="10"/>
      <c r="K122" s="11" t="s">
        <v>476</v>
      </c>
      <c r="L122" s="10">
        <v>0</v>
      </c>
      <c r="M122" s="12">
        <v>5</v>
      </c>
      <c r="N122" s="8"/>
      <c r="P122" s="6">
        <f t="shared" si="2"/>
        <v>20</v>
      </c>
      <c r="Q122" s="9"/>
      <c r="R122" s="9"/>
      <c r="T122" s="6">
        <f t="shared" si="3"/>
        <v>0</v>
      </c>
      <c r="X122" s="9"/>
    </row>
    <row r="123" spans="1:24" ht="15.6" x14ac:dyDescent="0.25">
      <c r="A123" s="11" t="s">
        <v>314</v>
      </c>
      <c r="B123" s="11" t="s">
        <v>387</v>
      </c>
      <c r="C123" s="11" t="s">
        <v>58</v>
      </c>
      <c r="D123" s="11" t="s">
        <v>2</v>
      </c>
      <c r="E123" s="10" t="s">
        <v>29</v>
      </c>
      <c r="F123" s="11"/>
      <c r="G123" s="10">
        <v>35</v>
      </c>
      <c r="H123" s="10" t="s">
        <v>29</v>
      </c>
      <c r="I123" s="10" t="s">
        <v>37</v>
      </c>
      <c r="J123" s="10"/>
      <c r="K123" s="11" t="s">
        <v>405</v>
      </c>
      <c r="L123" s="10">
        <v>0</v>
      </c>
      <c r="M123" s="12">
        <v>5</v>
      </c>
      <c r="N123" s="8"/>
      <c r="P123" s="6">
        <f t="shared" si="2"/>
        <v>35</v>
      </c>
      <c r="Q123" s="9" t="s">
        <v>396</v>
      </c>
      <c r="R123" s="9"/>
      <c r="T123" s="6">
        <f t="shared" si="3"/>
        <v>0</v>
      </c>
      <c r="X123" s="9" t="s">
        <v>396</v>
      </c>
    </row>
    <row r="124" spans="1:24" ht="15.6" x14ac:dyDescent="0.25">
      <c r="A124" s="11" t="s">
        <v>315</v>
      </c>
      <c r="B124" s="11" t="s">
        <v>323</v>
      </c>
      <c r="C124" s="11" t="s">
        <v>58</v>
      </c>
      <c r="D124" s="11" t="s">
        <v>2</v>
      </c>
      <c r="E124" s="10"/>
      <c r="F124" s="11"/>
      <c r="G124" s="10">
        <v>20</v>
      </c>
      <c r="H124" s="10"/>
      <c r="I124" s="10"/>
      <c r="J124" s="10"/>
      <c r="K124" s="11" t="s">
        <v>476</v>
      </c>
      <c r="L124" s="10">
        <v>0</v>
      </c>
      <c r="M124" s="12">
        <v>5</v>
      </c>
      <c r="N124" s="8"/>
      <c r="P124" s="6">
        <f t="shared" si="2"/>
        <v>20</v>
      </c>
      <c r="Q124" s="9"/>
      <c r="R124" s="9"/>
      <c r="T124" s="6">
        <f t="shared" si="3"/>
        <v>0</v>
      </c>
      <c r="X124" s="9" t="s">
        <v>396</v>
      </c>
    </row>
    <row r="125" spans="1:24" ht="15.6" x14ac:dyDescent="0.25">
      <c r="A125" s="11" t="s">
        <v>316</v>
      </c>
      <c r="B125" s="11" t="s">
        <v>388</v>
      </c>
      <c r="C125" s="11" t="s">
        <v>58</v>
      </c>
      <c r="D125" s="11" t="s">
        <v>2</v>
      </c>
      <c r="E125" s="10" t="s">
        <v>29</v>
      </c>
      <c r="F125" s="11"/>
      <c r="G125" s="10">
        <v>20</v>
      </c>
      <c r="H125" s="10" t="s">
        <v>29</v>
      </c>
      <c r="I125" s="10" t="s">
        <v>37</v>
      </c>
      <c r="J125" s="10"/>
      <c r="K125" s="11" t="s">
        <v>405</v>
      </c>
      <c r="L125" s="10">
        <v>0</v>
      </c>
      <c r="M125" s="12">
        <v>5</v>
      </c>
      <c r="N125" s="8"/>
      <c r="P125" s="6">
        <f t="shared" si="2"/>
        <v>20</v>
      </c>
      <c r="Q125" s="9" t="s">
        <v>396</v>
      </c>
      <c r="R125" s="9"/>
      <c r="T125" s="6">
        <f>IF(K125="",0,VLOOKUP(K125,$V$2:$W$7,2,0))</f>
        <v>0</v>
      </c>
    </row>
    <row r="126" spans="1:24" ht="15.6" x14ac:dyDescent="0.25">
      <c r="A126" s="11" t="s">
        <v>317</v>
      </c>
      <c r="B126" s="11" t="s">
        <v>389</v>
      </c>
      <c r="C126" s="11" t="s">
        <v>58</v>
      </c>
      <c r="D126" s="11" t="s">
        <v>2</v>
      </c>
      <c r="E126" s="10" t="s">
        <v>29</v>
      </c>
      <c r="F126" s="11"/>
      <c r="G126" s="10">
        <v>20</v>
      </c>
      <c r="H126" s="10" t="s">
        <v>29</v>
      </c>
      <c r="I126" s="10" t="s">
        <v>37</v>
      </c>
      <c r="J126" s="10"/>
      <c r="K126" s="11" t="s">
        <v>405</v>
      </c>
      <c r="L126" s="10">
        <v>0</v>
      </c>
      <c r="M126" s="12">
        <v>5</v>
      </c>
      <c r="N126" s="8"/>
      <c r="P126" s="6">
        <f t="shared" si="2"/>
        <v>20</v>
      </c>
      <c r="Q126" s="9" t="s">
        <v>396</v>
      </c>
      <c r="R126" s="9"/>
      <c r="T126" s="6">
        <f t="shared" ref="T126" si="4">IF(K126="",0,VLOOKUP(K126,$V$2:$W$7,2,0))</f>
        <v>0</v>
      </c>
    </row>
  </sheetData>
  <pageMargins left="0.7" right="0.7" top="0.75" bottom="0.75" header="0.3" footer="0.3"/>
  <pageSetup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D50E9F-6026-4801-9D70-29180AF79364}">
  <dimension ref="A1:C50"/>
  <sheetViews>
    <sheetView topLeftCell="A4" workbookViewId="0">
      <selection activeCell="E48" sqref="E48"/>
    </sheetView>
  </sheetViews>
  <sheetFormatPr defaultRowHeight="14.4" x14ac:dyDescent="0.3"/>
  <cols>
    <col min="2" max="2" width="10.6640625" bestFit="1" customWidth="1"/>
    <col min="3" max="3" width="10" bestFit="1" customWidth="1"/>
    <col min="4" max="4" width="7.77734375" bestFit="1" customWidth="1"/>
    <col min="5" max="5" width="14.109375" bestFit="1" customWidth="1"/>
  </cols>
  <sheetData>
    <row r="1" spans="1:3" x14ac:dyDescent="0.3">
      <c r="A1" t="s">
        <v>186</v>
      </c>
      <c r="B1" t="s">
        <v>187</v>
      </c>
      <c r="C1" t="s">
        <v>127</v>
      </c>
    </row>
    <row r="2" spans="1:3" x14ac:dyDescent="0.3">
      <c r="A2" t="s">
        <v>47</v>
      </c>
      <c r="B2" t="s">
        <v>29</v>
      </c>
      <c r="C2">
        <v>1</v>
      </c>
    </row>
    <row r="3" spans="1:3" x14ac:dyDescent="0.3">
      <c r="A3" t="s">
        <v>47</v>
      </c>
      <c r="B3" t="s">
        <v>42</v>
      </c>
      <c r="C3">
        <v>2</v>
      </c>
    </row>
    <row r="4" spans="1:3" x14ac:dyDescent="0.3">
      <c r="A4" t="s">
        <v>47</v>
      </c>
      <c r="B4" t="s">
        <v>40</v>
      </c>
      <c r="C4">
        <v>3</v>
      </c>
    </row>
    <row r="5" spans="1:3" x14ac:dyDescent="0.3">
      <c r="A5" t="s">
        <v>47</v>
      </c>
      <c r="B5" t="s">
        <v>190</v>
      </c>
      <c r="C5">
        <v>3</v>
      </c>
    </row>
    <row r="6" spans="1:3" x14ac:dyDescent="0.3">
      <c r="A6" t="s">
        <v>47</v>
      </c>
      <c r="B6" t="s">
        <v>37</v>
      </c>
      <c r="C6">
        <v>3</v>
      </c>
    </row>
    <row r="7" spans="1:3" x14ac:dyDescent="0.3">
      <c r="A7" t="s">
        <v>158</v>
      </c>
      <c r="B7" t="s">
        <v>29</v>
      </c>
      <c r="C7">
        <v>3</v>
      </c>
    </row>
    <row r="8" spans="1:3" x14ac:dyDescent="0.3">
      <c r="A8" t="s">
        <v>158</v>
      </c>
      <c r="B8" t="s">
        <v>42</v>
      </c>
      <c r="C8">
        <v>3</v>
      </c>
    </row>
    <row r="9" spans="1:3" x14ac:dyDescent="0.3">
      <c r="A9" t="s">
        <v>158</v>
      </c>
      <c r="B9" t="s">
        <v>40</v>
      </c>
      <c r="C9">
        <v>2</v>
      </c>
    </row>
    <row r="10" spans="1:3" x14ac:dyDescent="0.3">
      <c r="A10" t="s">
        <v>158</v>
      </c>
      <c r="B10" t="s">
        <v>190</v>
      </c>
      <c r="C10">
        <v>1</v>
      </c>
    </row>
    <row r="11" spans="1:3" x14ac:dyDescent="0.3">
      <c r="A11" t="s">
        <v>158</v>
      </c>
      <c r="B11" t="s">
        <v>37</v>
      </c>
      <c r="C11">
        <v>1</v>
      </c>
    </row>
    <row r="12" spans="1:3" x14ac:dyDescent="0.3">
      <c r="A12" t="s">
        <v>159</v>
      </c>
      <c r="B12" t="s">
        <v>29</v>
      </c>
      <c r="C12">
        <v>2</v>
      </c>
    </row>
    <row r="13" spans="1:3" x14ac:dyDescent="0.3">
      <c r="A13" t="s">
        <v>159</v>
      </c>
      <c r="B13" t="s">
        <v>42</v>
      </c>
      <c r="C13">
        <v>3</v>
      </c>
    </row>
    <row r="14" spans="1:3" x14ac:dyDescent="0.3">
      <c r="A14" t="s">
        <v>159</v>
      </c>
      <c r="B14" t="s">
        <v>40</v>
      </c>
      <c r="C14">
        <v>3</v>
      </c>
    </row>
    <row r="15" spans="1:3" x14ac:dyDescent="0.3">
      <c r="A15" t="s">
        <v>159</v>
      </c>
      <c r="B15" t="s">
        <v>190</v>
      </c>
      <c r="C15">
        <v>3</v>
      </c>
    </row>
    <row r="16" spans="1:3" x14ac:dyDescent="0.3">
      <c r="A16" t="s">
        <v>159</v>
      </c>
      <c r="B16" t="s">
        <v>37</v>
      </c>
      <c r="C16">
        <v>1</v>
      </c>
    </row>
    <row r="17" spans="1:3" x14ac:dyDescent="0.3">
      <c r="A17" t="s">
        <v>162</v>
      </c>
      <c r="B17" t="s">
        <v>29</v>
      </c>
      <c r="C17">
        <v>3</v>
      </c>
    </row>
    <row r="18" spans="1:3" x14ac:dyDescent="0.3">
      <c r="A18" t="s">
        <v>162</v>
      </c>
      <c r="B18" t="s">
        <v>42</v>
      </c>
      <c r="C18">
        <v>1</v>
      </c>
    </row>
    <row r="19" spans="1:3" x14ac:dyDescent="0.3">
      <c r="A19" t="s">
        <v>162</v>
      </c>
      <c r="B19" t="s">
        <v>190</v>
      </c>
      <c r="C19">
        <v>2</v>
      </c>
    </row>
    <row r="20" spans="1:3" x14ac:dyDescent="0.3">
      <c r="A20" t="s">
        <v>163</v>
      </c>
      <c r="B20" t="s">
        <v>29</v>
      </c>
      <c r="C20">
        <v>3</v>
      </c>
    </row>
    <row r="21" spans="1:3" x14ac:dyDescent="0.3">
      <c r="A21" t="s">
        <v>163</v>
      </c>
      <c r="B21" t="s">
        <v>42</v>
      </c>
      <c r="C21">
        <v>1</v>
      </c>
    </row>
    <row r="22" spans="1:3" x14ac:dyDescent="0.3">
      <c r="A22" t="s">
        <v>163</v>
      </c>
      <c r="B22" t="s">
        <v>190</v>
      </c>
      <c r="C22">
        <v>2</v>
      </c>
    </row>
    <row r="23" spans="1:3" x14ac:dyDescent="0.3">
      <c r="A23" t="s">
        <v>164</v>
      </c>
      <c r="B23" t="s">
        <v>29</v>
      </c>
      <c r="C23">
        <v>2</v>
      </c>
    </row>
    <row r="24" spans="1:3" x14ac:dyDescent="0.3">
      <c r="A24" t="s">
        <v>164</v>
      </c>
      <c r="B24" t="s">
        <v>40</v>
      </c>
      <c r="C24">
        <v>1</v>
      </c>
    </row>
    <row r="25" spans="1:3" x14ac:dyDescent="0.3">
      <c r="A25" t="s">
        <v>165</v>
      </c>
      <c r="B25" t="s">
        <v>29</v>
      </c>
      <c r="C25">
        <v>1</v>
      </c>
    </row>
    <row r="26" spans="1:3" x14ac:dyDescent="0.3">
      <c r="A26" t="s">
        <v>165</v>
      </c>
      <c r="B26" t="s">
        <v>42</v>
      </c>
      <c r="C26">
        <v>2</v>
      </c>
    </row>
    <row r="27" spans="1:3" x14ac:dyDescent="0.3">
      <c r="A27" t="s">
        <v>165</v>
      </c>
      <c r="B27" t="s">
        <v>37</v>
      </c>
      <c r="C27">
        <v>3</v>
      </c>
    </row>
    <row r="28" spans="1:3" x14ac:dyDescent="0.3">
      <c r="A28" t="s">
        <v>166</v>
      </c>
      <c r="B28" t="s">
        <v>42</v>
      </c>
      <c r="C28">
        <v>1</v>
      </c>
    </row>
    <row r="29" spans="1:3" x14ac:dyDescent="0.3">
      <c r="A29" t="s">
        <v>166</v>
      </c>
      <c r="B29" t="s">
        <v>37</v>
      </c>
      <c r="C29">
        <v>2</v>
      </c>
    </row>
    <row r="30" spans="1:3" x14ac:dyDescent="0.3">
      <c r="A30" t="s">
        <v>166</v>
      </c>
      <c r="B30" t="s">
        <v>29</v>
      </c>
      <c r="C30">
        <v>3</v>
      </c>
    </row>
    <row r="31" spans="1:3" x14ac:dyDescent="0.3">
      <c r="A31" t="s">
        <v>166</v>
      </c>
      <c r="B31" t="s">
        <v>190</v>
      </c>
      <c r="C31">
        <v>3</v>
      </c>
    </row>
    <row r="32" spans="1:3" x14ac:dyDescent="0.3">
      <c r="A32" t="s">
        <v>167</v>
      </c>
      <c r="B32" t="s">
        <v>37</v>
      </c>
      <c r="C32">
        <v>1</v>
      </c>
    </row>
    <row r="33" spans="1:3" x14ac:dyDescent="0.3">
      <c r="A33" t="s">
        <v>167</v>
      </c>
      <c r="B33" t="s">
        <v>190</v>
      </c>
      <c r="C33">
        <v>2</v>
      </c>
    </row>
    <row r="34" spans="1:3" x14ac:dyDescent="0.3">
      <c r="A34" t="s">
        <v>167</v>
      </c>
      <c r="B34" t="s">
        <v>29</v>
      </c>
      <c r="C34">
        <v>3</v>
      </c>
    </row>
    <row r="35" spans="1:3" x14ac:dyDescent="0.3">
      <c r="A35" t="s">
        <v>168</v>
      </c>
      <c r="B35" t="s">
        <v>37</v>
      </c>
      <c r="C35">
        <v>3</v>
      </c>
    </row>
    <row r="36" spans="1:3" x14ac:dyDescent="0.3">
      <c r="A36" t="s">
        <v>168</v>
      </c>
      <c r="B36" t="s">
        <v>190</v>
      </c>
      <c r="C36">
        <v>1</v>
      </c>
    </row>
    <row r="37" spans="1:3" x14ac:dyDescent="0.3">
      <c r="A37" t="s">
        <v>168</v>
      </c>
      <c r="B37" t="s">
        <v>29</v>
      </c>
      <c r="C37">
        <v>3</v>
      </c>
    </row>
    <row r="38" spans="1:3" x14ac:dyDescent="0.3">
      <c r="A38" t="s">
        <v>168</v>
      </c>
      <c r="B38" t="s">
        <v>42</v>
      </c>
      <c r="C38">
        <v>2</v>
      </c>
    </row>
    <row r="39" spans="1:3" x14ac:dyDescent="0.3">
      <c r="A39" t="s">
        <v>169</v>
      </c>
      <c r="B39" t="s">
        <v>37</v>
      </c>
      <c r="C39">
        <v>3</v>
      </c>
    </row>
    <row r="40" spans="1:3" x14ac:dyDescent="0.3">
      <c r="A40" t="s">
        <v>169</v>
      </c>
      <c r="B40" t="s">
        <v>190</v>
      </c>
      <c r="C40">
        <v>1</v>
      </c>
    </row>
    <row r="41" spans="1:3" x14ac:dyDescent="0.3">
      <c r="A41" t="s">
        <v>169</v>
      </c>
      <c r="B41" t="s">
        <v>29</v>
      </c>
      <c r="C41">
        <v>3</v>
      </c>
    </row>
    <row r="42" spans="1:3" x14ac:dyDescent="0.3">
      <c r="A42" t="s">
        <v>169</v>
      </c>
      <c r="B42" t="s">
        <v>42</v>
      </c>
      <c r="C42">
        <v>2</v>
      </c>
    </row>
    <row r="43" spans="1:3" x14ac:dyDescent="0.3">
      <c r="A43" t="s">
        <v>170</v>
      </c>
      <c r="B43" t="s">
        <v>40</v>
      </c>
      <c r="C43">
        <v>1</v>
      </c>
    </row>
    <row r="44" spans="1:3" x14ac:dyDescent="0.3">
      <c r="A44" t="s">
        <v>170</v>
      </c>
      <c r="B44" t="s">
        <v>29</v>
      </c>
      <c r="C44">
        <v>2</v>
      </c>
    </row>
    <row r="45" spans="1:3" x14ac:dyDescent="0.3">
      <c r="A45" t="s">
        <v>171</v>
      </c>
      <c r="B45" t="s">
        <v>42</v>
      </c>
      <c r="C45">
        <v>1</v>
      </c>
    </row>
    <row r="46" spans="1:3" x14ac:dyDescent="0.3">
      <c r="A46" t="s">
        <v>171</v>
      </c>
      <c r="B46" t="s">
        <v>190</v>
      </c>
      <c r="C46">
        <v>2</v>
      </c>
    </row>
    <row r="47" spans="1:3" x14ac:dyDescent="0.3">
      <c r="A47" t="s">
        <v>172</v>
      </c>
      <c r="B47" t="s">
        <v>42</v>
      </c>
      <c r="C47">
        <v>1</v>
      </c>
    </row>
    <row r="48" spans="1:3" x14ac:dyDescent="0.3">
      <c r="A48" t="s">
        <v>172</v>
      </c>
      <c r="B48" t="s">
        <v>190</v>
      </c>
      <c r="C48">
        <v>2</v>
      </c>
    </row>
    <row r="49" spans="1:3" x14ac:dyDescent="0.3">
      <c r="A49" t="s">
        <v>173</v>
      </c>
      <c r="B49" t="s">
        <v>40</v>
      </c>
      <c r="C49">
        <v>1</v>
      </c>
    </row>
    <row r="50" spans="1:3" x14ac:dyDescent="0.3">
      <c r="A50" t="s">
        <v>173</v>
      </c>
      <c r="B50" t="s">
        <v>29</v>
      </c>
      <c r="C50">
        <v>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473D7-B81B-4BEB-948A-799C9B5A28DE}">
  <dimension ref="A1:F16"/>
  <sheetViews>
    <sheetView workbookViewId="0">
      <selection sqref="A1:F16"/>
    </sheetView>
  </sheetViews>
  <sheetFormatPr defaultRowHeight="14.4" x14ac:dyDescent="0.3"/>
  <cols>
    <col min="2" max="2" width="10.6640625" bestFit="1" customWidth="1"/>
    <col min="3" max="3" width="10" bestFit="1" customWidth="1"/>
    <col min="4" max="4" width="7.77734375" bestFit="1" customWidth="1"/>
    <col min="5" max="5" width="17.33203125" customWidth="1"/>
    <col min="6" max="6" width="21.109375" bestFit="1" customWidth="1"/>
  </cols>
  <sheetData>
    <row r="1" spans="1:6" x14ac:dyDescent="0.3">
      <c r="A1" t="s">
        <v>0</v>
      </c>
      <c r="B1" t="s">
        <v>1</v>
      </c>
      <c r="C1" t="s">
        <v>44</v>
      </c>
      <c r="D1" t="s">
        <v>45</v>
      </c>
      <c r="E1" t="s">
        <v>188</v>
      </c>
      <c r="F1" t="s">
        <v>46</v>
      </c>
    </row>
    <row r="2" spans="1:6" x14ac:dyDescent="0.3">
      <c r="A2" t="s">
        <v>47</v>
      </c>
      <c r="B2" t="s">
        <v>48</v>
      </c>
      <c r="C2" t="s">
        <v>27</v>
      </c>
      <c r="D2">
        <v>40</v>
      </c>
      <c r="E2" t="s">
        <v>479</v>
      </c>
    </row>
    <row r="3" spans="1:6" x14ac:dyDescent="0.3">
      <c r="A3" t="s">
        <v>158</v>
      </c>
      <c r="B3" t="s">
        <v>160</v>
      </c>
      <c r="C3" t="s">
        <v>27</v>
      </c>
      <c r="D3">
        <v>40</v>
      </c>
      <c r="E3" t="s">
        <v>479</v>
      </c>
    </row>
    <row r="4" spans="1:6" x14ac:dyDescent="0.3">
      <c r="A4" t="s">
        <v>159</v>
      </c>
      <c r="B4" t="s">
        <v>161</v>
      </c>
      <c r="C4" t="s">
        <v>27</v>
      </c>
      <c r="D4">
        <v>40</v>
      </c>
      <c r="E4" t="s">
        <v>479</v>
      </c>
    </row>
    <row r="5" spans="1:6" x14ac:dyDescent="0.3">
      <c r="A5" t="s">
        <v>162</v>
      </c>
      <c r="B5" t="s">
        <v>174</v>
      </c>
      <c r="C5" t="s">
        <v>29</v>
      </c>
      <c r="D5">
        <v>31</v>
      </c>
      <c r="E5" t="s">
        <v>189</v>
      </c>
    </row>
    <row r="6" spans="1:6" x14ac:dyDescent="0.3">
      <c r="A6" t="s">
        <v>163</v>
      </c>
      <c r="B6" t="s">
        <v>175</v>
      </c>
      <c r="C6" t="s">
        <v>29</v>
      </c>
      <c r="D6">
        <v>31</v>
      </c>
      <c r="E6" t="s">
        <v>189</v>
      </c>
    </row>
    <row r="7" spans="1:6" x14ac:dyDescent="0.3">
      <c r="A7" t="s">
        <v>164</v>
      </c>
      <c r="B7" t="s">
        <v>176</v>
      </c>
      <c r="C7" t="s">
        <v>29</v>
      </c>
      <c r="D7">
        <v>31</v>
      </c>
      <c r="E7" t="s">
        <v>40</v>
      </c>
    </row>
    <row r="8" spans="1:6" x14ac:dyDescent="0.3">
      <c r="A8" t="s">
        <v>165</v>
      </c>
      <c r="B8" t="s">
        <v>177</v>
      </c>
      <c r="C8" t="s">
        <v>29</v>
      </c>
      <c r="D8">
        <v>31</v>
      </c>
      <c r="E8" t="s">
        <v>29</v>
      </c>
    </row>
    <row r="9" spans="1:6" x14ac:dyDescent="0.3">
      <c r="A9" t="s">
        <v>166</v>
      </c>
      <c r="B9" t="s">
        <v>179</v>
      </c>
      <c r="C9" t="s">
        <v>29</v>
      </c>
      <c r="D9">
        <v>31</v>
      </c>
      <c r="E9" t="s">
        <v>192</v>
      </c>
    </row>
    <row r="10" spans="1:6" x14ac:dyDescent="0.3">
      <c r="A10" t="s">
        <v>167</v>
      </c>
      <c r="B10" t="s">
        <v>180</v>
      </c>
      <c r="C10" t="s">
        <v>29</v>
      </c>
      <c r="D10">
        <v>20</v>
      </c>
      <c r="E10" t="s">
        <v>37</v>
      </c>
    </row>
    <row r="11" spans="1:6" x14ac:dyDescent="0.3">
      <c r="A11" t="s">
        <v>168</v>
      </c>
      <c r="B11" t="s">
        <v>181</v>
      </c>
      <c r="C11" t="s">
        <v>29</v>
      </c>
      <c r="D11">
        <v>20</v>
      </c>
      <c r="E11" t="s">
        <v>193</v>
      </c>
    </row>
    <row r="12" spans="1:6" x14ac:dyDescent="0.3">
      <c r="A12" t="s">
        <v>169</v>
      </c>
      <c r="B12" t="s">
        <v>182</v>
      </c>
      <c r="C12" t="s">
        <v>29</v>
      </c>
      <c r="D12">
        <v>20</v>
      </c>
      <c r="E12" t="s">
        <v>193</v>
      </c>
    </row>
    <row r="13" spans="1:6" x14ac:dyDescent="0.3">
      <c r="A13" t="s">
        <v>170</v>
      </c>
      <c r="B13" t="s">
        <v>178</v>
      </c>
      <c r="C13" t="s">
        <v>29</v>
      </c>
      <c r="D13">
        <v>20</v>
      </c>
      <c r="E13" t="s">
        <v>40</v>
      </c>
    </row>
    <row r="14" spans="1:6" x14ac:dyDescent="0.3">
      <c r="A14" t="s">
        <v>171</v>
      </c>
      <c r="B14" t="s">
        <v>183</v>
      </c>
      <c r="C14" t="s">
        <v>29</v>
      </c>
      <c r="D14">
        <v>20</v>
      </c>
      <c r="E14" t="s">
        <v>480</v>
      </c>
    </row>
    <row r="15" spans="1:6" x14ac:dyDescent="0.3">
      <c r="A15" t="s">
        <v>172</v>
      </c>
      <c r="B15" t="s">
        <v>184</v>
      </c>
      <c r="C15" t="s">
        <v>29</v>
      </c>
      <c r="D15">
        <v>20</v>
      </c>
      <c r="E15" t="s">
        <v>480</v>
      </c>
    </row>
    <row r="16" spans="1:6" x14ac:dyDescent="0.3">
      <c r="A16" t="s">
        <v>173</v>
      </c>
      <c r="B16" t="s">
        <v>185</v>
      </c>
      <c r="C16" t="s">
        <v>29</v>
      </c>
      <c r="D16">
        <v>20</v>
      </c>
      <c r="E16" t="s">
        <v>191</v>
      </c>
    </row>
  </sheetData>
  <phoneticPr fontId="2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99978A-5BA0-44F5-816F-8A315A6514B4}">
  <dimension ref="A1:J22"/>
  <sheetViews>
    <sheetView workbookViewId="0">
      <selection activeCell="I10" sqref="I10"/>
    </sheetView>
  </sheetViews>
  <sheetFormatPr defaultRowHeight="14.4" x14ac:dyDescent="0.3"/>
  <cols>
    <col min="1" max="1" width="6.88671875" customWidth="1"/>
    <col min="2" max="2" width="19.77734375" bestFit="1" customWidth="1"/>
    <col min="3" max="3" width="10.5546875" bestFit="1" customWidth="1"/>
    <col min="4" max="4" width="8.33203125" bestFit="1" customWidth="1"/>
    <col min="5" max="5" width="13.77734375" bestFit="1" customWidth="1"/>
    <col min="6" max="6" width="11.77734375" bestFit="1" customWidth="1"/>
    <col min="7" max="7" width="14.88671875" bestFit="1" customWidth="1"/>
    <col min="8" max="8" width="24.44140625" bestFit="1" customWidth="1"/>
  </cols>
  <sheetData>
    <row r="1" spans="1:10" x14ac:dyDescent="0.3">
      <c r="A1" t="s">
        <v>0</v>
      </c>
      <c r="B1" t="s">
        <v>1</v>
      </c>
      <c r="C1" t="s">
        <v>69</v>
      </c>
      <c r="D1" t="s">
        <v>70</v>
      </c>
      <c r="E1" t="s">
        <v>71</v>
      </c>
      <c r="F1" t="s">
        <v>72</v>
      </c>
      <c r="G1" t="s">
        <v>73</v>
      </c>
      <c r="H1" t="s">
        <v>74</v>
      </c>
      <c r="J1" t="s">
        <v>78</v>
      </c>
    </row>
    <row r="2" spans="1:10" x14ac:dyDescent="0.3">
      <c r="A2" t="s">
        <v>97</v>
      </c>
      <c r="B2" t="s">
        <v>98</v>
      </c>
      <c r="C2" t="s">
        <v>2</v>
      </c>
      <c r="E2">
        <v>415</v>
      </c>
      <c r="F2">
        <v>480</v>
      </c>
      <c r="G2">
        <v>3.2</v>
      </c>
      <c r="H2">
        <v>3</v>
      </c>
    </row>
    <row r="3" spans="1:10" x14ac:dyDescent="0.3">
      <c r="A3" t="s">
        <v>105</v>
      </c>
      <c r="B3" t="s">
        <v>106</v>
      </c>
      <c r="C3" t="s">
        <v>2</v>
      </c>
      <c r="E3">
        <v>415</v>
      </c>
      <c r="F3">
        <v>480</v>
      </c>
      <c r="G3">
        <v>3.2</v>
      </c>
      <c r="H3">
        <v>3</v>
      </c>
    </row>
    <row r="4" spans="1:10" x14ac:dyDescent="0.3">
      <c r="A4" t="s">
        <v>103</v>
      </c>
      <c r="B4" t="s">
        <v>104</v>
      </c>
      <c r="C4" t="s">
        <v>2</v>
      </c>
      <c r="E4">
        <v>415</v>
      </c>
      <c r="F4">
        <v>480</v>
      </c>
      <c r="G4">
        <v>3.2</v>
      </c>
      <c r="H4">
        <v>3</v>
      </c>
    </row>
    <row r="5" spans="1:10" x14ac:dyDescent="0.3">
      <c r="A5" t="s">
        <v>83</v>
      </c>
      <c r="B5" t="s">
        <v>84</v>
      </c>
      <c r="C5" t="s">
        <v>2</v>
      </c>
      <c r="D5">
        <v>1</v>
      </c>
      <c r="E5">
        <v>415</v>
      </c>
      <c r="F5">
        <v>480</v>
      </c>
      <c r="G5">
        <v>3.2</v>
      </c>
      <c r="H5">
        <v>3</v>
      </c>
    </row>
    <row r="6" spans="1:10" x14ac:dyDescent="0.3">
      <c r="A6" t="s">
        <v>113</v>
      </c>
      <c r="B6" t="s">
        <v>114</v>
      </c>
      <c r="C6" t="s">
        <v>2</v>
      </c>
      <c r="E6">
        <v>415</v>
      </c>
      <c r="F6">
        <v>480</v>
      </c>
      <c r="G6">
        <v>3.2</v>
      </c>
      <c r="H6">
        <v>3</v>
      </c>
    </row>
    <row r="7" spans="1:10" x14ac:dyDescent="0.3">
      <c r="A7" t="s">
        <v>81</v>
      </c>
      <c r="B7" t="s">
        <v>82</v>
      </c>
      <c r="C7" t="s">
        <v>2</v>
      </c>
      <c r="E7">
        <v>415</v>
      </c>
      <c r="F7">
        <v>480</v>
      </c>
      <c r="G7">
        <v>3.2</v>
      </c>
      <c r="H7">
        <v>3</v>
      </c>
    </row>
    <row r="8" spans="1:10" x14ac:dyDescent="0.3">
      <c r="A8" t="s">
        <v>85</v>
      </c>
      <c r="B8" t="s">
        <v>86</v>
      </c>
      <c r="C8" t="s">
        <v>2</v>
      </c>
      <c r="E8">
        <v>415</v>
      </c>
      <c r="F8">
        <v>480</v>
      </c>
      <c r="G8">
        <v>3.2</v>
      </c>
      <c r="H8">
        <v>3</v>
      </c>
    </row>
    <row r="9" spans="1:10" x14ac:dyDescent="0.3">
      <c r="A9" t="s">
        <v>79</v>
      </c>
      <c r="B9" t="s">
        <v>80</v>
      </c>
      <c r="C9" t="s">
        <v>2</v>
      </c>
      <c r="E9">
        <v>415</v>
      </c>
      <c r="F9">
        <v>480</v>
      </c>
      <c r="G9">
        <v>3.2</v>
      </c>
      <c r="H9">
        <v>3</v>
      </c>
    </row>
    <row r="10" spans="1:10" x14ac:dyDescent="0.3">
      <c r="A10" t="s">
        <v>101</v>
      </c>
      <c r="B10" t="s">
        <v>102</v>
      </c>
      <c r="C10" t="s">
        <v>2</v>
      </c>
      <c r="E10">
        <v>415</v>
      </c>
      <c r="F10">
        <v>480</v>
      </c>
      <c r="G10">
        <v>3.2</v>
      </c>
      <c r="H10">
        <v>3</v>
      </c>
    </row>
    <row r="11" spans="1:10" x14ac:dyDescent="0.3">
      <c r="A11" t="s">
        <v>89</v>
      </c>
      <c r="B11" t="s">
        <v>90</v>
      </c>
      <c r="C11" t="s">
        <v>2</v>
      </c>
      <c r="E11">
        <v>415</v>
      </c>
      <c r="F11">
        <v>480</v>
      </c>
      <c r="G11">
        <v>3.2</v>
      </c>
      <c r="H11">
        <v>3</v>
      </c>
    </row>
    <row r="12" spans="1:10" x14ac:dyDescent="0.3">
      <c r="A12" t="s">
        <v>118</v>
      </c>
      <c r="B12" t="s">
        <v>117</v>
      </c>
      <c r="C12" t="s">
        <v>2</v>
      </c>
      <c r="E12">
        <v>415</v>
      </c>
      <c r="F12">
        <v>480</v>
      </c>
      <c r="G12">
        <v>3.2</v>
      </c>
      <c r="H12">
        <v>3</v>
      </c>
    </row>
    <row r="13" spans="1:10" x14ac:dyDescent="0.3">
      <c r="A13" t="s">
        <v>109</v>
      </c>
      <c r="B13" t="s">
        <v>110</v>
      </c>
      <c r="C13" t="s">
        <v>2</v>
      </c>
      <c r="E13">
        <v>415</v>
      </c>
      <c r="F13">
        <v>480</v>
      </c>
      <c r="G13">
        <v>3.2</v>
      </c>
      <c r="H13">
        <v>3</v>
      </c>
    </row>
    <row r="14" spans="1:10" x14ac:dyDescent="0.3">
      <c r="A14" t="s">
        <v>95</v>
      </c>
      <c r="B14" t="s">
        <v>96</v>
      </c>
      <c r="C14" t="s">
        <v>2</v>
      </c>
      <c r="E14">
        <v>415</v>
      </c>
      <c r="F14">
        <v>480</v>
      </c>
      <c r="G14">
        <v>3.2</v>
      </c>
      <c r="H14">
        <v>3</v>
      </c>
    </row>
    <row r="15" spans="1:10" x14ac:dyDescent="0.3">
      <c r="A15" t="s">
        <v>76</v>
      </c>
      <c r="B15" t="s">
        <v>77</v>
      </c>
      <c r="C15" t="s">
        <v>2</v>
      </c>
      <c r="D15">
        <v>1</v>
      </c>
      <c r="E15">
        <v>415</v>
      </c>
      <c r="F15">
        <v>480</v>
      </c>
      <c r="G15">
        <v>3.2</v>
      </c>
      <c r="H15">
        <v>3</v>
      </c>
    </row>
    <row r="16" spans="1:10" x14ac:dyDescent="0.3">
      <c r="A16" t="s">
        <v>93</v>
      </c>
      <c r="B16" t="s">
        <v>94</v>
      </c>
      <c r="C16" t="s">
        <v>2</v>
      </c>
      <c r="E16">
        <v>415</v>
      </c>
      <c r="F16">
        <v>480</v>
      </c>
      <c r="G16">
        <v>3.2</v>
      </c>
      <c r="H16">
        <v>3</v>
      </c>
    </row>
    <row r="17" spans="1:8" x14ac:dyDescent="0.3">
      <c r="A17" t="s">
        <v>107</v>
      </c>
      <c r="B17" t="s">
        <v>108</v>
      </c>
      <c r="C17" t="s">
        <v>2</v>
      </c>
      <c r="E17">
        <v>415</v>
      </c>
      <c r="F17">
        <v>480</v>
      </c>
      <c r="G17">
        <v>3.2</v>
      </c>
      <c r="H17">
        <v>3</v>
      </c>
    </row>
    <row r="18" spans="1:8" x14ac:dyDescent="0.3">
      <c r="A18" t="s">
        <v>99</v>
      </c>
      <c r="B18" t="s">
        <v>100</v>
      </c>
      <c r="C18" t="s">
        <v>2</v>
      </c>
      <c r="E18">
        <v>415</v>
      </c>
      <c r="F18">
        <v>480</v>
      </c>
      <c r="G18">
        <v>3.2</v>
      </c>
      <c r="H18">
        <v>3</v>
      </c>
    </row>
    <row r="19" spans="1:8" x14ac:dyDescent="0.3">
      <c r="A19" t="s">
        <v>115</v>
      </c>
      <c r="B19" t="s">
        <v>116</v>
      </c>
      <c r="C19" t="s">
        <v>2</v>
      </c>
      <c r="E19">
        <v>415</v>
      </c>
      <c r="F19">
        <v>480</v>
      </c>
      <c r="G19">
        <v>3.2</v>
      </c>
      <c r="H19">
        <v>3</v>
      </c>
    </row>
    <row r="20" spans="1:8" x14ac:dyDescent="0.3">
      <c r="A20" t="s">
        <v>91</v>
      </c>
      <c r="B20" t="s">
        <v>92</v>
      </c>
      <c r="C20" t="s">
        <v>2</v>
      </c>
      <c r="E20">
        <v>415</v>
      </c>
      <c r="F20">
        <v>480</v>
      </c>
      <c r="G20">
        <v>3.2</v>
      </c>
      <c r="H20">
        <v>3</v>
      </c>
    </row>
    <row r="21" spans="1:8" x14ac:dyDescent="0.3">
      <c r="A21" t="s">
        <v>87</v>
      </c>
      <c r="B21" t="s">
        <v>88</v>
      </c>
      <c r="C21" t="s">
        <v>2</v>
      </c>
      <c r="E21">
        <v>415</v>
      </c>
      <c r="F21">
        <v>480</v>
      </c>
      <c r="G21">
        <v>3.2</v>
      </c>
      <c r="H21">
        <v>3</v>
      </c>
    </row>
    <row r="22" spans="1:8" x14ac:dyDescent="0.3">
      <c r="A22" t="s">
        <v>111</v>
      </c>
      <c r="B22" t="s">
        <v>112</v>
      </c>
      <c r="C22" t="s">
        <v>2</v>
      </c>
      <c r="E22">
        <v>415</v>
      </c>
      <c r="F22">
        <v>480</v>
      </c>
      <c r="G22">
        <v>3.2</v>
      </c>
      <c r="H22">
        <v>3</v>
      </c>
    </row>
  </sheetData>
  <sortState xmlns:xlrd2="http://schemas.microsoft.com/office/spreadsheetml/2017/richdata2" ref="A2:H22">
    <sortCondition ref="A2:A22"/>
  </sortState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969BF3-0B55-433F-BBC9-8535DAB826F2}">
  <dimension ref="A1:B8"/>
  <sheetViews>
    <sheetView workbookViewId="0">
      <selection activeCell="A3" sqref="A3"/>
    </sheetView>
  </sheetViews>
  <sheetFormatPr defaultRowHeight="14.4" x14ac:dyDescent="0.3"/>
  <cols>
    <col min="2" max="2" width="17.6640625" bestFit="1" customWidth="1"/>
  </cols>
  <sheetData>
    <row r="1" spans="1:2" x14ac:dyDescent="0.3">
      <c r="A1" t="s">
        <v>1</v>
      </c>
      <c r="B1" t="s">
        <v>75</v>
      </c>
    </row>
    <row r="2" spans="1:2" x14ac:dyDescent="0.3">
      <c r="A2" t="s">
        <v>119</v>
      </c>
      <c r="B2">
        <v>0.3</v>
      </c>
    </row>
    <row r="3" spans="1:2" x14ac:dyDescent="0.3">
      <c r="A3" t="s">
        <v>120</v>
      </c>
      <c r="B3">
        <v>0.15</v>
      </c>
    </row>
    <row r="4" spans="1:2" x14ac:dyDescent="0.3">
      <c r="A4" t="s">
        <v>121</v>
      </c>
      <c r="B4">
        <v>0.15</v>
      </c>
    </row>
    <row r="5" spans="1:2" x14ac:dyDescent="0.3">
      <c r="A5" t="s">
        <v>107</v>
      </c>
      <c r="B5">
        <v>0.15</v>
      </c>
    </row>
    <row r="6" spans="1:2" x14ac:dyDescent="0.3">
      <c r="A6" t="s">
        <v>122</v>
      </c>
      <c r="B6">
        <v>0.4</v>
      </c>
    </row>
    <row r="7" spans="1:2" x14ac:dyDescent="0.3">
      <c r="A7" t="s">
        <v>123</v>
      </c>
      <c r="B7">
        <v>0.15</v>
      </c>
    </row>
    <row r="8" spans="1:2" x14ac:dyDescent="0.3">
      <c r="A8" t="s">
        <v>124</v>
      </c>
      <c r="B8">
        <v>0.1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D189E-C1EE-4B06-B0EF-E73607FB6FE9}">
  <dimension ref="A1:C1"/>
  <sheetViews>
    <sheetView workbookViewId="0">
      <selection activeCell="C1" sqref="C1"/>
    </sheetView>
  </sheetViews>
  <sheetFormatPr defaultRowHeight="14.4" x14ac:dyDescent="0.3"/>
  <sheetData>
    <row r="1" spans="1:3" x14ac:dyDescent="0.3">
      <c r="A1" t="s">
        <v>125</v>
      </c>
      <c r="B1" t="s">
        <v>126</v>
      </c>
      <c r="C1" t="s">
        <v>127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97C0ED-E1D7-4707-97C8-DA85CE6E31C9}">
  <dimension ref="A1:G28"/>
  <sheetViews>
    <sheetView workbookViewId="0">
      <selection activeCell="I22" sqref="I22"/>
    </sheetView>
  </sheetViews>
  <sheetFormatPr defaultRowHeight="14.4" x14ac:dyDescent="0.3"/>
  <cols>
    <col min="1" max="2" width="11.21875" bestFit="1" customWidth="1"/>
    <col min="4" max="4" width="10.88671875" customWidth="1"/>
    <col min="7" max="7" width="17.5546875" bestFit="1" customWidth="1"/>
  </cols>
  <sheetData>
    <row r="1" spans="1:7" x14ac:dyDescent="0.3">
      <c r="A1" t="s">
        <v>0</v>
      </c>
      <c r="B1" t="s">
        <v>1</v>
      </c>
      <c r="C1" t="s">
        <v>194</v>
      </c>
      <c r="D1" t="s">
        <v>128</v>
      </c>
      <c r="E1" t="s">
        <v>22</v>
      </c>
      <c r="F1" t="s">
        <v>69</v>
      </c>
      <c r="G1" t="s">
        <v>195</v>
      </c>
    </row>
    <row r="2" spans="1:7" x14ac:dyDescent="0.3">
      <c r="A2" t="s">
        <v>445</v>
      </c>
      <c r="B2" t="s">
        <v>206</v>
      </c>
      <c r="C2" s="4">
        <v>30</v>
      </c>
      <c r="D2" t="s">
        <v>54</v>
      </c>
      <c r="E2">
        <v>2025</v>
      </c>
      <c r="F2" t="s">
        <v>2</v>
      </c>
      <c r="G2" t="s">
        <v>91</v>
      </c>
    </row>
    <row r="3" spans="1:7" x14ac:dyDescent="0.3">
      <c r="A3" t="s">
        <v>446</v>
      </c>
      <c r="B3" t="s">
        <v>205</v>
      </c>
      <c r="C3" s="4">
        <v>9</v>
      </c>
      <c r="D3" t="s">
        <v>54</v>
      </c>
      <c r="E3">
        <v>2025</v>
      </c>
      <c r="F3" t="s">
        <v>2</v>
      </c>
      <c r="G3" t="s">
        <v>91</v>
      </c>
    </row>
    <row r="4" spans="1:7" x14ac:dyDescent="0.3">
      <c r="A4" t="s">
        <v>447</v>
      </c>
      <c r="B4" t="s">
        <v>197</v>
      </c>
      <c r="C4" s="4">
        <v>28</v>
      </c>
      <c r="D4" t="s">
        <v>56</v>
      </c>
      <c r="E4">
        <v>2025</v>
      </c>
      <c r="F4" t="s">
        <v>2</v>
      </c>
      <c r="G4" t="s">
        <v>113</v>
      </c>
    </row>
    <row r="5" spans="1:7" x14ac:dyDescent="0.3">
      <c r="A5" t="s">
        <v>448</v>
      </c>
      <c r="B5" t="s">
        <v>198</v>
      </c>
      <c r="C5" s="4">
        <v>7</v>
      </c>
      <c r="D5" t="s">
        <v>56</v>
      </c>
      <c r="E5">
        <v>2025</v>
      </c>
      <c r="F5" t="s">
        <v>2</v>
      </c>
      <c r="G5" t="s">
        <v>113</v>
      </c>
    </row>
    <row r="6" spans="1:7" x14ac:dyDescent="0.3">
      <c r="A6" t="s">
        <v>449</v>
      </c>
      <c r="B6" t="s">
        <v>196</v>
      </c>
      <c r="C6" s="4">
        <v>23</v>
      </c>
      <c r="D6" t="s">
        <v>55</v>
      </c>
      <c r="E6">
        <v>2025</v>
      </c>
      <c r="F6" t="s">
        <v>2</v>
      </c>
      <c r="G6" t="s">
        <v>79</v>
      </c>
    </row>
    <row r="7" spans="1:7" x14ac:dyDescent="0.3">
      <c r="A7" t="s">
        <v>450</v>
      </c>
      <c r="B7" t="s">
        <v>202</v>
      </c>
      <c r="C7" s="4">
        <v>24</v>
      </c>
      <c r="D7" t="s">
        <v>54</v>
      </c>
      <c r="E7">
        <v>2024</v>
      </c>
      <c r="F7" t="s">
        <v>2</v>
      </c>
      <c r="G7" t="s">
        <v>101</v>
      </c>
    </row>
    <row r="8" spans="1:7" x14ac:dyDescent="0.3">
      <c r="A8" t="s">
        <v>451</v>
      </c>
      <c r="B8" t="s">
        <v>204</v>
      </c>
      <c r="C8" s="4">
        <v>28</v>
      </c>
      <c r="D8" t="s">
        <v>54</v>
      </c>
      <c r="E8">
        <v>2024</v>
      </c>
      <c r="F8" t="s">
        <v>2</v>
      </c>
      <c r="G8" t="s">
        <v>109</v>
      </c>
    </row>
    <row r="9" spans="1:7" x14ac:dyDescent="0.3">
      <c r="A9" t="s">
        <v>452</v>
      </c>
      <c r="B9" t="s">
        <v>203</v>
      </c>
      <c r="C9" s="4">
        <v>26</v>
      </c>
      <c r="D9" t="s">
        <v>54</v>
      </c>
      <c r="E9">
        <v>2024</v>
      </c>
      <c r="F9" t="s">
        <v>2</v>
      </c>
      <c r="G9" t="s">
        <v>111</v>
      </c>
    </row>
    <row r="10" spans="1:7" x14ac:dyDescent="0.3">
      <c r="A10" t="s">
        <v>453</v>
      </c>
      <c r="B10" t="s">
        <v>199</v>
      </c>
      <c r="C10" s="4">
        <v>30</v>
      </c>
      <c r="D10" t="s">
        <v>55</v>
      </c>
      <c r="E10">
        <v>2024</v>
      </c>
      <c r="F10" t="s">
        <v>2</v>
      </c>
      <c r="G10" t="s">
        <v>107</v>
      </c>
    </row>
    <row r="11" spans="1:7" x14ac:dyDescent="0.3">
      <c r="A11" t="s">
        <v>454</v>
      </c>
      <c r="B11" t="s">
        <v>200</v>
      </c>
      <c r="C11" s="4">
        <v>24</v>
      </c>
      <c r="D11" t="s">
        <v>56</v>
      </c>
      <c r="E11">
        <v>2024</v>
      </c>
      <c r="F11" t="s">
        <v>2</v>
      </c>
      <c r="G11" t="s">
        <v>87</v>
      </c>
    </row>
    <row r="12" spans="1:7" x14ac:dyDescent="0.3">
      <c r="A12" t="s">
        <v>455</v>
      </c>
      <c r="B12" t="s">
        <v>201</v>
      </c>
      <c r="C12" s="4">
        <v>31</v>
      </c>
      <c r="D12" t="s">
        <v>56</v>
      </c>
      <c r="E12">
        <v>2024</v>
      </c>
      <c r="F12" t="s">
        <v>2</v>
      </c>
      <c r="G12" t="s">
        <v>81</v>
      </c>
    </row>
    <row r="13" spans="1:7" x14ac:dyDescent="0.3">
      <c r="A13" t="s">
        <v>456</v>
      </c>
      <c r="B13" t="s">
        <v>207</v>
      </c>
      <c r="C13" s="4">
        <v>26</v>
      </c>
      <c r="D13" t="s">
        <v>54</v>
      </c>
      <c r="E13">
        <v>2024</v>
      </c>
      <c r="F13" t="s">
        <v>2</v>
      </c>
      <c r="G13" t="s">
        <v>95</v>
      </c>
    </row>
    <row r="14" spans="1:7" x14ac:dyDescent="0.3">
      <c r="A14" t="s">
        <v>208</v>
      </c>
      <c r="B14" t="s">
        <v>208</v>
      </c>
      <c r="C14" s="4">
        <v>11</v>
      </c>
      <c r="D14" t="s">
        <v>58</v>
      </c>
      <c r="E14">
        <v>2025</v>
      </c>
      <c r="F14" t="s">
        <v>2</v>
      </c>
      <c r="G14" t="s">
        <v>76</v>
      </c>
    </row>
    <row r="15" spans="1:7" x14ac:dyDescent="0.3">
      <c r="A15" t="s">
        <v>209</v>
      </c>
      <c r="B15" t="s">
        <v>209</v>
      </c>
      <c r="C15" s="4">
        <v>13</v>
      </c>
      <c r="D15" t="s">
        <v>58</v>
      </c>
      <c r="E15">
        <v>2024</v>
      </c>
      <c r="F15" t="s">
        <v>2</v>
      </c>
      <c r="G15" t="s">
        <v>76</v>
      </c>
    </row>
    <row r="16" spans="1:7" x14ac:dyDescent="0.3">
      <c r="A16" t="s">
        <v>210</v>
      </c>
      <c r="B16" t="s">
        <v>210</v>
      </c>
      <c r="C16" s="4">
        <v>18</v>
      </c>
      <c r="D16" t="s">
        <v>58</v>
      </c>
      <c r="E16">
        <v>2023</v>
      </c>
      <c r="F16" t="s">
        <v>2</v>
      </c>
      <c r="G16" t="s">
        <v>76</v>
      </c>
    </row>
    <row r="17" spans="1:7" x14ac:dyDescent="0.3">
      <c r="A17" t="s">
        <v>211</v>
      </c>
      <c r="B17" t="s">
        <v>211</v>
      </c>
      <c r="C17" s="4">
        <v>29</v>
      </c>
      <c r="D17" t="s">
        <v>2</v>
      </c>
      <c r="E17">
        <v>2023</v>
      </c>
      <c r="F17" t="s">
        <v>2</v>
      </c>
      <c r="G17" t="s">
        <v>93</v>
      </c>
    </row>
    <row r="18" spans="1:7" x14ac:dyDescent="0.3">
      <c r="A18" t="s">
        <v>212</v>
      </c>
      <c r="B18" t="s">
        <v>212</v>
      </c>
      <c r="C18" s="4">
        <v>10</v>
      </c>
      <c r="D18" t="s">
        <v>57</v>
      </c>
      <c r="E18">
        <v>2023</v>
      </c>
      <c r="F18" t="s">
        <v>2</v>
      </c>
      <c r="G18" t="s">
        <v>87</v>
      </c>
    </row>
    <row r="19" spans="1:7" s="13" customFormat="1" x14ac:dyDescent="0.3">
      <c r="A19" s="13" t="s">
        <v>213</v>
      </c>
      <c r="B19" s="13" t="s">
        <v>213</v>
      </c>
      <c r="C19" s="14">
        <v>25</v>
      </c>
      <c r="D19" s="13" t="s">
        <v>2</v>
      </c>
      <c r="E19" s="13">
        <v>2024</v>
      </c>
      <c r="F19" s="13" t="s">
        <v>2</v>
      </c>
      <c r="G19" s="13" t="s">
        <v>105</v>
      </c>
    </row>
    <row r="20" spans="1:7" s="13" customFormat="1" x14ac:dyDescent="0.3">
      <c r="A20" s="13" t="s">
        <v>214</v>
      </c>
      <c r="B20" s="13" t="s">
        <v>214</v>
      </c>
      <c r="C20" s="14">
        <v>7</v>
      </c>
      <c r="D20" s="13" t="s">
        <v>2</v>
      </c>
      <c r="E20" s="13">
        <v>2024</v>
      </c>
      <c r="F20" s="13" t="s">
        <v>2</v>
      </c>
      <c r="G20" s="13" t="s">
        <v>105</v>
      </c>
    </row>
    <row r="21" spans="1:7" s="13" customFormat="1" x14ac:dyDescent="0.3">
      <c r="A21" s="13" t="s">
        <v>215</v>
      </c>
      <c r="B21" s="13" t="s">
        <v>215</v>
      </c>
      <c r="C21" s="14">
        <v>1</v>
      </c>
      <c r="D21" s="13" t="s">
        <v>2</v>
      </c>
      <c r="E21" s="13">
        <v>2024</v>
      </c>
      <c r="F21" s="13" t="s">
        <v>2</v>
      </c>
      <c r="G21" s="13" t="s">
        <v>105</v>
      </c>
    </row>
    <row r="22" spans="1:7" s="15" customFormat="1" x14ac:dyDescent="0.3">
      <c r="A22" s="15" t="s">
        <v>216</v>
      </c>
      <c r="B22" s="15" t="s">
        <v>216</v>
      </c>
      <c r="C22" s="16">
        <v>15</v>
      </c>
      <c r="D22" s="15" t="s">
        <v>57</v>
      </c>
      <c r="E22" s="15">
        <v>2024</v>
      </c>
      <c r="F22" s="15" t="s">
        <v>2</v>
      </c>
      <c r="G22" s="15" t="s">
        <v>115</v>
      </c>
    </row>
    <row r="23" spans="1:7" s="15" customFormat="1" x14ac:dyDescent="0.3">
      <c r="A23" s="15" t="s">
        <v>217</v>
      </c>
      <c r="B23" s="15" t="s">
        <v>217</v>
      </c>
      <c r="C23" s="16">
        <v>2</v>
      </c>
      <c r="D23" s="15" t="s">
        <v>57</v>
      </c>
      <c r="E23" s="15">
        <v>2024</v>
      </c>
      <c r="F23" s="15" t="s">
        <v>2</v>
      </c>
      <c r="G23" s="15" t="s">
        <v>115</v>
      </c>
    </row>
    <row r="24" spans="1:7" x14ac:dyDescent="0.3">
      <c r="A24" t="s">
        <v>218</v>
      </c>
      <c r="B24" t="s">
        <v>218</v>
      </c>
      <c r="C24" s="4">
        <v>22</v>
      </c>
      <c r="D24" t="s">
        <v>2</v>
      </c>
      <c r="E24">
        <v>2025</v>
      </c>
      <c r="F24" t="s">
        <v>2</v>
      </c>
      <c r="G24" t="s">
        <v>99</v>
      </c>
    </row>
    <row r="25" spans="1:7" x14ac:dyDescent="0.3">
      <c r="A25" t="s">
        <v>219</v>
      </c>
      <c r="B25" t="s">
        <v>219</v>
      </c>
      <c r="C25" s="4">
        <v>2</v>
      </c>
      <c r="D25" t="s">
        <v>57</v>
      </c>
      <c r="E25">
        <v>2025</v>
      </c>
      <c r="F25" t="s">
        <v>2</v>
      </c>
      <c r="G25" t="s">
        <v>99</v>
      </c>
    </row>
    <row r="26" spans="1:7" x14ac:dyDescent="0.3">
      <c r="A26" t="s">
        <v>220</v>
      </c>
      <c r="B26" t="s">
        <v>220</v>
      </c>
      <c r="C26" s="4">
        <v>0</v>
      </c>
      <c r="D26" t="s">
        <v>57</v>
      </c>
      <c r="E26">
        <v>2025</v>
      </c>
      <c r="F26" t="s">
        <v>2</v>
      </c>
      <c r="G26" t="s">
        <v>99</v>
      </c>
    </row>
    <row r="27" spans="1:7" x14ac:dyDescent="0.3">
      <c r="A27" t="s">
        <v>221</v>
      </c>
      <c r="B27" t="s">
        <v>221</v>
      </c>
      <c r="C27">
        <v>100</v>
      </c>
      <c r="D27" t="s">
        <v>224</v>
      </c>
      <c r="E27">
        <v>2022</v>
      </c>
      <c r="F27" t="s">
        <v>2</v>
      </c>
      <c r="G27" t="s">
        <v>97</v>
      </c>
    </row>
    <row r="28" spans="1:7" x14ac:dyDescent="0.3">
      <c r="A28" t="s">
        <v>222</v>
      </c>
      <c r="B28" t="s">
        <v>222</v>
      </c>
      <c r="C28">
        <v>100</v>
      </c>
      <c r="D28" t="s">
        <v>223</v>
      </c>
      <c r="E28">
        <v>2023</v>
      </c>
      <c r="F28" t="s">
        <v>2</v>
      </c>
      <c r="G28" t="s">
        <v>83</v>
      </c>
    </row>
  </sheetData>
  <phoneticPr fontId="2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DD9CFC-8A86-4CEF-AFCE-031B6E2E7151}">
  <dimension ref="A1:C31"/>
  <sheetViews>
    <sheetView topLeftCell="A10" workbookViewId="0">
      <selection activeCell="F27" sqref="F27"/>
    </sheetView>
  </sheetViews>
  <sheetFormatPr defaultRowHeight="14.4" x14ac:dyDescent="0.3"/>
  <cols>
    <col min="1" max="1" width="17.21875" customWidth="1"/>
    <col min="2" max="2" width="15.6640625" customWidth="1"/>
    <col min="3" max="3" width="18.44140625" customWidth="1"/>
  </cols>
  <sheetData>
    <row r="1" spans="1:3" x14ac:dyDescent="0.3">
      <c r="A1" t="s">
        <v>408</v>
      </c>
      <c r="B1" t="s">
        <v>409</v>
      </c>
      <c r="C1" t="s">
        <v>1</v>
      </c>
    </row>
    <row r="2" spans="1:3" x14ac:dyDescent="0.3">
      <c r="A2" t="s">
        <v>54</v>
      </c>
      <c r="B2">
        <v>2025</v>
      </c>
      <c r="C2" t="s">
        <v>410</v>
      </c>
    </row>
    <row r="3" spans="1:3" x14ac:dyDescent="0.3">
      <c r="A3" t="s">
        <v>55</v>
      </c>
      <c r="B3">
        <v>2025</v>
      </c>
      <c r="C3" t="s">
        <v>411</v>
      </c>
    </row>
    <row r="4" spans="1:3" x14ac:dyDescent="0.3">
      <c r="A4" t="s">
        <v>56</v>
      </c>
      <c r="B4">
        <v>2025</v>
      </c>
      <c r="C4" t="s">
        <v>412</v>
      </c>
    </row>
    <row r="5" spans="1:3" x14ac:dyDescent="0.3">
      <c r="A5" t="s">
        <v>2</v>
      </c>
      <c r="B5">
        <v>2025</v>
      </c>
      <c r="C5" t="s">
        <v>413</v>
      </c>
    </row>
    <row r="6" spans="1:3" x14ac:dyDescent="0.3">
      <c r="A6" t="s">
        <v>57</v>
      </c>
      <c r="B6">
        <v>2025</v>
      </c>
      <c r="C6" t="s">
        <v>414</v>
      </c>
    </row>
    <row r="7" spans="1:3" x14ac:dyDescent="0.3">
      <c r="A7" t="s">
        <v>58</v>
      </c>
      <c r="B7">
        <v>2025</v>
      </c>
      <c r="C7" t="s">
        <v>415</v>
      </c>
    </row>
    <row r="8" spans="1:3" x14ac:dyDescent="0.3">
      <c r="A8" t="s">
        <v>65</v>
      </c>
      <c r="B8">
        <v>2025</v>
      </c>
      <c r="C8" t="s">
        <v>416</v>
      </c>
    </row>
    <row r="9" spans="1:3" x14ac:dyDescent="0.3">
      <c r="A9" t="s">
        <v>66</v>
      </c>
      <c r="B9">
        <v>2025</v>
      </c>
      <c r="C9" t="s">
        <v>417</v>
      </c>
    </row>
    <row r="10" spans="1:3" x14ac:dyDescent="0.3">
      <c r="A10" t="s">
        <v>223</v>
      </c>
      <c r="B10">
        <v>2025</v>
      </c>
      <c r="C10" t="s">
        <v>418</v>
      </c>
    </row>
    <row r="11" spans="1:3" x14ac:dyDescent="0.3">
      <c r="A11" t="s">
        <v>224</v>
      </c>
      <c r="B11">
        <v>2025</v>
      </c>
      <c r="C11" t="s">
        <v>419</v>
      </c>
    </row>
    <row r="12" spans="1:3" x14ac:dyDescent="0.3">
      <c r="A12" t="s">
        <v>54</v>
      </c>
      <c r="B12">
        <v>2026</v>
      </c>
      <c r="C12" t="s">
        <v>420</v>
      </c>
    </row>
    <row r="13" spans="1:3" x14ac:dyDescent="0.3">
      <c r="A13" t="s">
        <v>55</v>
      </c>
      <c r="B13">
        <v>2026</v>
      </c>
      <c r="C13" t="s">
        <v>421</v>
      </c>
    </row>
    <row r="14" spans="1:3" x14ac:dyDescent="0.3">
      <c r="A14" t="s">
        <v>56</v>
      </c>
      <c r="B14">
        <v>2026</v>
      </c>
      <c r="C14" t="s">
        <v>422</v>
      </c>
    </row>
    <row r="15" spans="1:3" x14ac:dyDescent="0.3">
      <c r="A15" t="s">
        <v>2</v>
      </c>
      <c r="B15">
        <v>2026</v>
      </c>
      <c r="C15" t="s">
        <v>423</v>
      </c>
    </row>
    <row r="16" spans="1:3" x14ac:dyDescent="0.3">
      <c r="A16" t="s">
        <v>57</v>
      </c>
      <c r="B16">
        <v>2026</v>
      </c>
      <c r="C16" t="s">
        <v>424</v>
      </c>
    </row>
    <row r="17" spans="1:3" x14ac:dyDescent="0.3">
      <c r="A17" t="s">
        <v>58</v>
      </c>
      <c r="B17">
        <v>2026</v>
      </c>
      <c r="C17" t="s">
        <v>425</v>
      </c>
    </row>
    <row r="18" spans="1:3" x14ac:dyDescent="0.3">
      <c r="A18" t="s">
        <v>65</v>
      </c>
      <c r="B18">
        <v>2026</v>
      </c>
      <c r="C18" t="s">
        <v>426</v>
      </c>
    </row>
    <row r="19" spans="1:3" x14ac:dyDescent="0.3">
      <c r="A19" t="s">
        <v>66</v>
      </c>
      <c r="B19">
        <v>2026</v>
      </c>
      <c r="C19" t="s">
        <v>427</v>
      </c>
    </row>
    <row r="20" spans="1:3" x14ac:dyDescent="0.3">
      <c r="A20" t="s">
        <v>223</v>
      </c>
      <c r="B20">
        <v>2026</v>
      </c>
      <c r="C20" t="s">
        <v>428</v>
      </c>
    </row>
    <row r="21" spans="1:3" x14ac:dyDescent="0.3">
      <c r="A21" t="s">
        <v>224</v>
      </c>
      <c r="B21">
        <v>2026</v>
      </c>
      <c r="C21" t="s">
        <v>429</v>
      </c>
    </row>
    <row r="22" spans="1:3" x14ac:dyDescent="0.3">
      <c r="A22" t="s">
        <v>54</v>
      </c>
      <c r="B22">
        <v>2024</v>
      </c>
      <c r="C22" t="s">
        <v>430</v>
      </c>
    </row>
    <row r="23" spans="1:3" x14ac:dyDescent="0.3">
      <c r="A23" t="s">
        <v>55</v>
      </c>
      <c r="B23">
        <v>2024</v>
      </c>
      <c r="C23" t="s">
        <v>431</v>
      </c>
    </row>
    <row r="24" spans="1:3" x14ac:dyDescent="0.3">
      <c r="A24" t="s">
        <v>56</v>
      </c>
      <c r="B24">
        <v>2024</v>
      </c>
      <c r="C24" t="s">
        <v>432</v>
      </c>
    </row>
    <row r="25" spans="1:3" x14ac:dyDescent="0.3">
      <c r="A25" t="s">
        <v>2</v>
      </c>
      <c r="B25">
        <v>2024</v>
      </c>
      <c r="C25" t="s">
        <v>433</v>
      </c>
    </row>
    <row r="26" spans="1:3" x14ac:dyDescent="0.3">
      <c r="A26" t="s">
        <v>57</v>
      </c>
      <c r="B26">
        <v>2024</v>
      </c>
      <c r="C26" t="s">
        <v>434</v>
      </c>
    </row>
    <row r="27" spans="1:3" x14ac:dyDescent="0.3">
      <c r="A27" t="s">
        <v>58</v>
      </c>
      <c r="B27">
        <v>2024</v>
      </c>
      <c r="C27" t="s">
        <v>435</v>
      </c>
    </row>
    <row r="28" spans="1:3" x14ac:dyDescent="0.3">
      <c r="A28" t="s">
        <v>65</v>
      </c>
      <c r="B28">
        <v>2024</v>
      </c>
      <c r="C28" t="s">
        <v>436</v>
      </c>
    </row>
    <row r="29" spans="1:3" x14ac:dyDescent="0.3">
      <c r="A29" t="s">
        <v>66</v>
      </c>
      <c r="B29">
        <v>2024</v>
      </c>
      <c r="C29" t="s">
        <v>437</v>
      </c>
    </row>
    <row r="30" spans="1:3" x14ac:dyDescent="0.3">
      <c r="A30" t="s">
        <v>223</v>
      </c>
      <c r="B30">
        <v>2024</v>
      </c>
      <c r="C30" t="s">
        <v>438</v>
      </c>
    </row>
    <row r="31" spans="1:3" x14ac:dyDescent="0.3">
      <c r="A31" t="s">
        <v>224</v>
      </c>
      <c r="B31">
        <v>2024</v>
      </c>
      <c r="C31" t="s">
        <v>439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7E86BB-C073-4740-B799-5666492A4E58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BED43-5E25-4912-AD02-13C0C90E12FA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department</vt:lpstr>
      <vt:lpstr>training_levels</vt:lpstr>
      <vt:lpstr>academic_years</vt:lpstr>
      <vt:lpstr>semester_weeks</vt:lpstr>
      <vt:lpstr>semesters</vt:lpstr>
      <vt:lpstr>room_types</vt:lpstr>
      <vt:lpstr>specialization_groups</vt:lpstr>
      <vt:lpstr>majors</vt:lpstr>
      <vt:lpstr>Circiculum_Subject</vt:lpstr>
      <vt:lpstr>subjects</vt:lpstr>
      <vt:lpstr>room_capacity</vt:lpstr>
      <vt:lpstr>room</vt:lpstr>
      <vt:lpstr>instructors</vt:lpstr>
      <vt:lpstr>instructor_role</vt:lpstr>
      <vt:lpstr>instructor_competency</vt:lpstr>
      <vt:lpstr>student_class</vt:lpstr>
      <vt:lpstr>Circiculum</vt:lpstr>
      <vt:lpstr>semester_week</vt:lpstr>
      <vt:lpstr>semester_break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Hai To Ho</cp:lastModifiedBy>
  <dcterms:created xsi:type="dcterms:W3CDTF">2015-06-05T18:17:20Z</dcterms:created>
  <dcterms:modified xsi:type="dcterms:W3CDTF">2025-12-04T10:26:11Z</dcterms:modified>
</cp:coreProperties>
</file>